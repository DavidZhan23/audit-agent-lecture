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71d707634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Course Guide" sheetId="1" r:id="R8df1ce3fd1324998"/>
    <x:sheet xmlns:r="http://schemas.openxmlformats.org/officeDocument/2006/relationships" name="Employees" sheetId="2" r:id="R4a02cef418be433f"/>
    <x:sheet xmlns:r="http://schemas.openxmlformats.org/officeDocument/2006/relationships" name="Claims" sheetId="3" r:id="R86734037ad1a424f"/>
    <x:sheet xmlns:r="http://schemas.openxmlformats.org/officeDocument/2006/relationships" name="Invoices" sheetId="4" r:id="Rcd348cebce2c4251"/>
    <x:sheet xmlns:r="http://schemas.openxmlformats.org/officeDocument/2006/relationships" name="Approvals" sheetId="5" r:id="Reda4221d96684c1b"/>
    <x:sheet xmlns:r="http://schemas.openxmlformats.org/officeDocument/2006/relationships" name="Flights" sheetId="6" r:id="Rbc573cc54a2f401b"/>
    <x:sheet xmlns:r="http://schemas.openxmlformats.org/officeDocument/2006/relationships" name="Hotels" sheetId="7" r:id="Ref7a3b2abe424fbf"/>
    <x:sheet xmlns:r="http://schemas.openxmlformats.org/officeDocument/2006/relationships" name="CRM Visits" sheetId="8" r:id="R1b184b2cc08b4470"/>
    <x:sheet xmlns:r="http://schemas.openxmlformats.org/officeDocument/2006/relationships" name="Receipt OCR" sheetId="9" r:id="Rdaaaa69393404222"/>
    <x:sheet xmlns:r="http://schemas.openxmlformats.org/officeDocument/2006/relationships" name="Calendar" sheetId="10" r:id="R834bbb78899143b1"/>
    <x:sheet xmlns:r="http://schemas.openxmlformats.org/officeDocument/2006/relationships" name="Expected Findings" sheetId="11" r:id="Re24354334f13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"/>
    <x:numFmt numFmtId="202" formatCode="yyyy-mm-dd hh:mm"/>
    <x:numFmt numFmtId="203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315F50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20"/>
      <x:color rgb="FFFFFFFF"/>
      <x:name val="Carlito"/>
    </x:font>
    <x:font>
      <x:b/>
      <x:sz val="22"/>
      <x:color rgb="FF1F2A27"/>
      <x:name val="Carlito"/>
    </x:font>
    <x:font>
      <x:b/>
      <x:sz val="12"/>
      <x:color rgb="FFFFFFFF"/>
      <x:name val="Carlito"/>
    </x:font>
    <x:font>
      <x:i/>
      <x:sz val="10"/>
      <x:color rgb="FFA86B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A27"/>
      </x:patternFill>
    </x:fill>
    <x:fill>
      <x:patternFill patternType="solid">
        <x:fgColor rgb="FFEAF2EE"/>
      </x:patternFill>
    </x:fill>
    <x:fill>
      <x:patternFill patternType="solid">
        <x:fgColor rgb="FF315F50"/>
      </x:patternFill>
    </x:fill>
    <x:fill>
      <x:patternFill patternType="solid">
        <x:fgColor rgb="FFF7F1E9"/>
      </x:patternFill>
    </x:fill>
  </x:fills>
  <x:borders count="8">
    <x:border/>
    <x:border>
      <x:bottom style="thin">
        <x:color rgb="FFD9E1DD"/>
      </x:bottom>
    </x:border>
    <x:border>
      <x:top style="thin">
        <x:color rgb="FFD9E1DD"/>
      </x:top>
      <x:bottom style="thin">
        <x:color rgb="FFD9E1DD"/>
      </x:bottom>
    </x:border>
    <x:border>
      <x:top style="thin">
        <x:color rgb="FFD9E1DD"/>
      </x:top>
    </x:border>
    <x:border>
      <x:left style="thin">
        <x:color rgb="FFD9E1DD"/>
      </x:left>
      <x:top style="thin">
        <x:color rgb="FFD9E1DD"/>
      </x:top>
    </x:border>
    <x:border>
      <x:right style="thin">
        <x:color rgb="FFD9E1DD"/>
      </x:right>
      <x:top style="thin">
        <x:color rgb="FFD9E1DD"/>
      </x:top>
    </x:border>
    <x:border>
      <x:left style="thin">
        <x:color rgb="FFD9E1DD"/>
      </x:left>
      <x:bottom style="thin">
        <x:color rgb="FFD9E1DD"/>
      </x:bottom>
    </x:border>
    <x:border>
      <x:right style="thin">
        <x:color rgb="FFD9E1DD"/>
      </x:right>
      <x:bottom style="thin">
        <x:color rgb="FFD9E1D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3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1" xfId="0" applyNumberFormat="1" applyFont="1" applyFill="1" applyBorder="1"/>
    <x:xf numFmtId="0" fontId="6" fillId="3" borderId="7" xfId="0" applyNumberFormat="1" applyFont="1" applyFill="1" applyBorder="1"/>
    <x:xf numFmtId="0" fontId="6" fillId="3" borderId="4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6" fillId="3" borderId="7" xfId="0" applyNumberFormat="1" applyFont="1" applyFill="1" applyBorder="1" applyAlignment="1">
      <x:alignment horizontal="center" vertical="center"/>
    </x:xf>
    <x:xf numFmtId="201" fontId="6" fillId="3" borderId="3" xfId="0" applyNumberFormat="1" applyFont="1" applyFill="1" applyBorder="1" applyAlignment="1">
      <x:alignment horizontal="center" vertical="center"/>
    </x:xf>
    <x:xf numFmtId="201" fontId="6" fillId="3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16A56"/>
      </x:font>
      <x:fill>
        <x:patternFill patternType="solid">
          <x:bgColor rgb="FFEDF6F1"/>
        </x:patternFill>
      </x:fill>
    </x:dxf>
    <x:dxf>
      <x:font>
        <x:b/>
        <x:color rgb="FF8A4C2D"/>
      </x:font>
      <x:fill>
        <x:patternFill patternType="solid">
          <x:bgColor rgb="FFFFF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6176d67644f95" /><Relationship Type="http://schemas.openxmlformats.org/officeDocument/2006/relationships/theme" Target="/xl/theme/theme1.xml" Id="Rc82100ad8d0e411a" /><Relationship Type="http://schemas.microsoft.com/office/2022/11/relationships/FeaturePropertyBag" Target="/xl/featurePropertyBag/featurePropertyBag.xml" Id="Rfd846c913db84562" /><Relationship Type="http://schemas.openxmlformats.org/officeDocument/2006/relationships/sharedStrings" Target="/xl/sharedStrings.xml" Id="R7d1707282593456c" /><Relationship Type="http://schemas.openxmlformats.org/officeDocument/2006/relationships/worksheet" Target="/xl/worksheets/sheet1.xml" Id="R8df1ce3fd1324998" /><Relationship Type="http://schemas.openxmlformats.org/officeDocument/2006/relationships/worksheet" Target="/xl/worksheets/sheet2.xml" Id="R4a02cef418be433f" /><Relationship Type="http://schemas.openxmlformats.org/officeDocument/2006/relationships/worksheet" Target="/xl/worksheets/sheet3.xml" Id="R86734037ad1a424f" /><Relationship Type="http://schemas.openxmlformats.org/officeDocument/2006/relationships/worksheet" Target="/xl/worksheets/sheet4.xml" Id="Rcd348cebce2c4251" /><Relationship Type="http://schemas.openxmlformats.org/officeDocument/2006/relationships/worksheet" Target="/xl/worksheets/sheet5.xml" Id="Reda4221d96684c1b" /><Relationship Type="http://schemas.openxmlformats.org/officeDocument/2006/relationships/worksheet" Target="/xl/worksheets/sheet6.xml" Id="Rbc573cc54a2f401b" /><Relationship Type="http://schemas.openxmlformats.org/officeDocument/2006/relationships/worksheet" Target="/xl/worksheets/sheet7.xml" Id="Ref7a3b2abe424fbf" /><Relationship Type="http://schemas.openxmlformats.org/officeDocument/2006/relationships/worksheet" Target="/xl/worksheets/sheet8.xml" Id="R1b184b2cc08b4470" /><Relationship Type="http://schemas.openxmlformats.org/officeDocument/2006/relationships/worksheet" Target="/xl/worksheets/sheet9.xml" Id="Rdaaaa69393404222" /><Relationship Type="http://schemas.openxmlformats.org/officeDocument/2006/relationships/worksheet" Target="/xl/worksheets/sheet10.xml" Id="R834bbb78899143b1" /><Relationship Type="http://schemas.openxmlformats.org/officeDocument/2006/relationships/worksheet" Target="/xl/worksheets/sheet11.xml" Id="Re24354334f13423f" /><Relationship Type="http://schemas.microsoft.com/office/2017/10/relationships/person" Target="/xl/persons/person.xml" Id="R6c02fed6fc5541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3B5F9D71-B918-4DF8-9421-95A4B23ACB4D}"/>
</xltc:personList>
</file>

<file path=xl/tables/table1.xml><?xml version="1.0" encoding="utf-8"?>
<x:table xmlns:x="http://schemas.openxmlformats.org/spreadsheetml/2006/main" id="1" name="ToyTable1" displayName="ToyTable1" ref="A4:F12" headerRowCount="1" totalsRowCount="0" totalsRowShown="0">
  <x:tableColumns count="6">
    <x:tableColumn id="1" name="employee_id"/>
    <x:tableColumn id="2" name="employee_name"/>
    <x:tableColumn id="3" name="department"/>
    <x:tableColumn id="4" name="home_city"/>
    <x:tableColumn id="5" name="job_level"/>
    <x:tableColumn id="6" name="manager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yTable2" displayName="ToyTable2" ref="A4:N30" headerRowCount="1" totalsRowCount="0" totalsRowShown="0">
  <x:tableColumns count="14">
    <x:tableColumn id="1" name="claim_id"/>
    <x:tableColumn id="2" name="employee_id"/>
    <x:tableColumn id="3" name="claim_date"/>
    <x:tableColumn id="4" name="expense_type"/>
    <x:tableColumn id="5" name="amount_cny"/>
    <x:tableColumn id="6" name="merchant_id"/>
    <x:tableColumn id="7" name="merchant_name"/>
    <x:tableColumn id="8" name="city"/>
    <x:tableColumn id="9" name="description"/>
    <x:tableColumn id="10" name="trip_id"/>
    <x:tableColumn id="11" name="invoice_no"/>
    <x:tableColumn id="12" name="approval_id"/>
    <x:tableColumn id="13" name="attachment_file"/>
    <x:tableColumn id="14" name="teaching_c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yTable3" displayName="ToyTable3" ref="A4:J30" headerRowCount="1" totalsRowCount="0" totalsRowShown="0">
  <x:tableColumns count="10">
    <x:tableColumn id="1" name="invoice_record_id"/>
    <x:tableColumn id="2" name="claim_id"/>
    <x:tableColumn id="3" name="invoice_no"/>
    <x:tableColumn id="4" name="invoice_date"/>
    <x:tableColumn id="5" name="seller_name"/>
    <x:tableColumn id="6" name="invoice_amount_cny"/>
    <x:tableColumn id="7" name="invoice_valid"/>
    <x:tableColumn id="8" name="attachment_file"/>
    <x:tableColumn id="9" name="duplicate_scope"/>
    <x:tableColumn id="10" name="duplicate_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yTable4" displayName="ToyTable4" ref="A4:I14" headerRowCount="1" totalsRowCount="0" totalsRowShown="0">
  <x:tableColumns count="9">
    <x:tableColumn id="1" name="approval_id"/>
    <x:tableColumn id="2" name="claim_id"/>
    <x:tableColumn id="3" name="approval_type"/>
    <x:tableColumn id="4" name="approval_status"/>
    <x:tableColumn id="5" name="approver_id"/>
    <x:tableColumn id="6" name="approval_time"/>
    <x:tableColumn id="7" name="approved_limit_cny"/>
    <x:tableColumn id="8" name="special_exception"/>
    <x:tableColumn id="9" name="exception_bas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yTable5" displayName="ToyTable5" ref="A4:J10" headerRowCount="1" totalsRowCount="0" totalsRowShown="0">
  <x:tableColumns count="10">
    <x:tableColumn id="1" name="flight_record_id"/>
    <x:tableColumn id="2" name="trip_id"/>
    <x:tableColumn id="3" name="employee_id"/>
    <x:tableColumn id="4" name="flight_date"/>
    <x:tableColumn id="5" name="flight_no"/>
    <x:tableColumn id="6" name="origin_city"/>
    <x:tableColumn id="7" name="destination_city"/>
    <x:tableColumn id="8" name="scheduled_arrival"/>
    <x:tableColumn id="9" name="actual_arrival"/>
    <x:tableColumn id="10" name="booking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oyTable6" displayName="ToyTable6" ref="A4:I10" headerRowCount="1" totalsRowCount="0" totalsRowShown="0">
  <x:tableColumns count="9">
    <x:tableColumn id="1" name="hotel_record_id"/>
    <x:tableColumn id="2" name="trip_id"/>
    <x:tableColumn id="3" name="employee_id"/>
    <x:tableColumn id="4" name="hotel_name"/>
    <x:tableColumn id="5" name="city"/>
    <x:tableColumn id="6" name="check_in_date"/>
    <x:tableColumn id="7" name="check_out_date"/>
    <x:tableColumn id="8" name="nightly_rate_cny"/>
    <x:tableColumn id="9" name="booking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oyTable7" displayName="ToyTable7" ref="A4:J10" headerRowCount="1" totalsRowCount="0" totalsRowShown="0">
  <x:tableColumns count="10">
    <x:tableColumn id="1" name="visit_record_id"/>
    <x:tableColumn id="2" name="trip_id"/>
    <x:tableColumn id="3" name="employee_id"/>
    <x:tableColumn id="4" name="visit_date"/>
    <x:tableColumn id="5" name="customer_id"/>
    <x:tableColumn id="6" name="customer_name"/>
    <x:tableColumn id="7" name="city"/>
    <x:tableColumn id="8" name="visit_status"/>
    <x:tableColumn id="9" name="contact_status"/>
    <x:tableColumn id="10" name="meeting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yTable8" displayName="ToyTable8" ref="A4:I11" headerRowCount="1" totalsRowCount="0" totalsRowShown="0">
  <x:tableColumns count="9">
    <x:tableColumn id="1" name="ocr_record_id"/>
    <x:tableColumn id="2" name="claim_id"/>
    <x:tableColumn id="3" name="receipt_file"/>
    <x:tableColumn id="4" name="document_type"/>
    <x:tableColumn id="5" name="ocr_text"/>
    <x:tableColumn id="6" name="printed_amount_cny"/>
    <x:tableColumn id="7" name="qr_amount_cny"/>
    <x:tableColumn id="8" name="image_integrity_score"/>
    <x:tableColumn id="9" name="extracted_item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oyTable9" displayName="ToyTable9" ref="A4:I8" headerRowCount="1" totalsRowCount="0" totalsRowShown="0">
  <x:tableColumns count="9">
    <x:tableColumn id="1" name="calendar_record_id"/>
    <x:tableColumn id="2" name="employee_id"/>
    <x:tableColumn id="3" name="event_date"/>
    <x:tableColumn id="4" name="start_time"/>
    <x:tableColumn id="5" name="end_time"/>
    <x:tableColumn id="6" name="event_type"/>
    <x:tableColumn id="7" name="event_title"/>
    <x:tableColumn id="8" name="location"/>
    <x:tableColumn id="9" name="business_relat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oyTable10" displayName="ToyTable10" ref="A4:H10" headerRowCount="1" totalsRowCount="0" totalsRowShown="0">
  <x:tableColumns count="8">
    <x:tableColumn id="1" name="case_id"/>
    <x:tableColumn id="2" name="case_name"/>
    <x:tableColumn id="3" name="primary_claim_ids"/>
    <x:tableColumn id="4" name="expected_outcome"/>
    <x:tableColumn id="5" name="severity"/>
    <x:tableColumn id="6" name="evidence_files"/>
    <x:tableColumn id="7" name="evidence_summary"/>
    <x:tableColumn id="8" name="first_effective_s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8fb87a7bac46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193ee1fe6c41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c7db06789543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9f19be130049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347ed1de1e48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2f04d7ef3c4c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734d7d643b44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a67cef1e1343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6dae7d4bf0e4e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6234868bd8e40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5" hidden="0" customWidth="1"/>
    <x:col min="5" max="5" width="11" hidden="0" customWidth="1"/>
    <x:col min="6" max="6" width="32" hidden="0" customWidth="1"/>
    <x:col min="7" max="7" width="48" hidden="0" customWidth="1"/>
    <x:col min="8" max="8" width="16" hidden="0" customWidth="1"/>
  </x:cols>
  <x:sheetData>
    <x:row r="1">
      <x:c r="A1" s="37" t="str">
        <x:v>审计智能体贯穿案例 · Toy Data Pack</x:v>
      </x:c>
      <x:c r="B1" s="37"/>
      <x:c r="C1" s="37"/>
      <x:c r="D1" s="37"/>
      <x:c r="E1" s="37"/>
      <x:c r="F1" s="37"/>
      <x:c r="G1" s="37"/>
      <x:c r="H1" s="37"/>
    </x:row>
    <x:row r="2">
      <x:c r="A2" s="37"/>
      <x:c r="B2" s="37"/>
      <x:c r="C2" s="37"/>
      <x:c r="D2" s="37"/>
      <x:c r="E2" s="37"/>
      <x:c r="F2" s="37"/>
      <x:c r="G2" s="37"/>
      <x:c r="H2" s="37"/>
    </x:row>
    <x:row r="4">
      <x:c r="A4" s="38" t="str">
        <x:v>报销记录</x:v>
      </x:c>
      <x:c r="B4" s="38"/>
      <x:c r="C4" s="38" t="str">
        <x:v>报销总额</x:v>
      </x:c>
      <x:c r="D4" s="38"/>
      <x:c r="E4" s="38" t="str">
        <x:v>员工数</x:v>
      </x:c>
      <x:c r="F4" s="38"/>
      <x:c r="G4" s="38" t="str">
        <x:v>贯穿情形</x:v>
      </x:c>
      <x:c r="H4" s="38"/>
    </x:row>
    <x:row r="5">
      <x:c r="A5" s="52" t="n">
        <x:f>COUNTA('Claims'!A5:A200)</x:f>
        <x:v>26</x:v>
      </x:c>
      <x:c r="B5" s="53"/>
      <x:c r="C5" s="58" t="n">
        <x:f>SUM('Claims'!E5:E200)</x:f>
        <x:v>27939</x:v>
      </x:c>
      <x:c r="D5" s="58"/>
      <x:c r="E5" s="53" t="n">
        <x:f>COUNTA('Employees'!A5:A100)</x:f>
        <x:v>8</x:v>
      </x:c>
      <x:c r="F5" s="53"/>
      <x:c r="G5" s="53" t="n">
        <x:v>6</x:v>
      </x:c>
      <x:c r="H5" s="54"/>
    </x:row>
    <x:row r="6">
      <x:c r="A6" s="55"/>
      <x:c r="B6" s="56"/>
      <x:c r="C6" s="59"/>
      <x:c r="D6" s="59"/>
      <x:c r="E6" s="56"/>
      <x:c r="F6" s="56"/>
      <x:c r="G6" s="56"/>
      <x:c r="H6" s="57"/>
    </x:row>
    <x:row r="8">
      <x:c r="A8" s="60" t="str">
        <x:v>六个贯穿情形</x:v>
      </x:c>
      <x:c r="B8" s="60"/>
      <x:c r="C8" s="60"/>
      <x:c r="D8" s="60"/>
      <x:c r="E8" s="60"/>
      <x:c r="F8" s="60"/>
      <x:c r="G8" s="60"/>
      <x:c r="H8" s="60"/>
    </x:row>
    <x:row r="9">
      <x:c r="A9" s="8" t="str">
        <x:v>case_id</x:v>
      </x:c>
      <x:c r="B9" s="8" t="str">
        <x:v>case_name</x:v>
      </x:c>
      <x:c r="C9" s="8" t="str">
        <x:v>primary_claim_ids</x:v>
      </x:c>
      <x:c r="D9" s="8" t="str">
        <x:v>expected_outcome</x:v>
      </x:c>
      <x:c r="E9" s="8" t="str">
        <x:v>severity</x:v>
      </x:c>
      <x:c r="F9" s="8" t="str">
        <x:v>evidence_files</x:v>
      </x:c>
      <x:c r="G9" s="8" t="str">
        <x:v>evidence_summary</x:v>
      </x:c>
      <x:c r="H9" s="8" t="str">
        <x:v>first_effective_stage</x:v>
      </x:c>
    </x:row>
    <x:row r="10">
      <x:c r="A10" s="64" t="str">
        <x:v>A</x:v>
      </x:c>
      <x:c r="B10" s="64" t="str">
        <x:v>重复发票</x:v>
      </x:c>
      <x:c r="C10" s="64" t="str">
        <x:v>BX-41610|BX-41902</x:v>
      </x:c>
      <x:c r="D10" s="64" t="str">
        <x:v>需重点核查</x:v>
      </x:c>
      <x:c r="E10" s="64" t="str">
        <x:v>高</x:v>
      </x:c>
      <x:c r="F10" s="64" t="str">
        <x:v>expense_claims.csv|invoice_registry.csv</x:v>
      </x:c>
      <x:c r="G10" s="64" t="str">
        <x:v>两笔报销附件名不同，但发票号、金额、销方相同。</x:v>
      </x:c>
      <x:c r="H10" s="64" t="str">
        <x:v>规则</x:v>
      </x:c>
    </x:row>
    <x:row r="11">
      <x:c r="A11" s="65" t="str">
        <x:v>B</x:v>
      </x:c>
      <x:c r="B11" s="65" t="str">
        <x:v>超标住宿合理例外</x:v>
      </x:c>
      <x:c r="C11" s="65" t="str">
        <x:v>BX-41002</x:v>
      </x:c>
      <x:c r="D11" s="65" t="str">
        <x:v>排除误报</x:v>
      </x:c>
      <x:c r="E11" s="65" t="str">
        <x:v>无</x:v>
      </x:c>
      <x:c r="F11" s="65" t="str">
        <x:v>expense_claims.csv|approvals.csv|special_event_notice.md</x:v>
      </x:c>
      <x:c r="G11" s="65" t="str">
        <x:v>720元超过常规600元标准，但有事前审批，且会展通知将上限提高至800元。</x:v>
      </x:c>
      <x:c r="H11" s="65" t="str">
        <x:v>大模型</x:v>
      </x:c>
    </x:row>
    <x:row r="12">
      <x:c r="A12" s="65" t="str">
        <x:v>C</x:v>
      </x:c>
      <x:c r="B12" s="65" t="str">
        <x:v>拆分报销</x:v>
      </x:c>
      <x:c r="C12" s="65" t="str">
        <x:v>BX-41881|BX-41882|BX-41883|BX-41884</x:v>
      </x:c>
      <x:c r="D12" s="65" t="str">
        <x:v>需重点核查</x:v>
      </x:c>
      <x:c r="E12" s="65" t="str">
        <x:v>高</x:v>
      </x:c>
      <x:c r="F12" s="65" t="str">
        <x:v>expense_claims.csv|expense_policy.md</x:v>
      </x:c>
      <x:c r="G12" s="65" t="str">
        <x:v>同一员工、同一商户、两天内四笔近似金额均低于2,000元审批阈值，合计7,880元。</x:v>
      </x:c>
      <x:c r="H12" s="65" t="str">
        <x:v>机器学习</x:v>
      </x:c>
    </x:row>
    <x:row r="13">
      <x:c r="A13" s="65" t="str">
        <x:v>D</x:v>
      </x:c>
      <x:c r="B13" s="65" t="str">
        <x:v>票据金额修改</x:v>
      </x:c>
      <x:c r="C13" s="65" t="str">
        <x:v>BX-42306</x:v>
      </x:c>
      <x:c r="D13" s="65" t="str">
        <x:v>需重点核查</x:v>
      </x:c>
      <x:c r="E13" s="65" t="str">
        <x:v>高</x:v>
      </x:c>
      <x:c r="F13" s="65" t="str">
        <x:v>expense_claims.csv|invoice_registry.csv|receipt_ocr.csv</x:v>
      </x:c>
      <x:c r="G13" s="65" t="str">
        <x:v>报销和可见字样为286元，二维码解析和发票平台金额为86元，图像完整性风险高。</x:v>
      </x:c>
      <x:c r="H13" s="65" t="str">
        <x:v>神经网络</x:v>
      </x:c>
    </x:row>
    <x:row r="14">
      <x:c r="A14" s="65" t="str">
        <x:v>E</x:v>
      </x:c>
      <x:c r="B14" s="65" t="str">
        <x:v>个人消费伪装客户招待</x:v>
      </x:c>
      <x:c r="C14" s="65" t="str">
        <x:v>BX-42519</x:v>
      </x:c>
      <x:c r="D14" s="65" t="str">
        <x:v>需重点核查</x:v>
      </x:c>
      <x:c r="E14" s="65" t="str">
        <x:v>中高</x:v>
      </x:c>
      <x:c r="F14" s="65" t="str">
        <x:v>expense_claims.csv|receipt_ocr.csv|customer_visits.csv|employee_calendar.csv</x:v>
      </x:c>
      <x:c r="G14" s="65" t="str">
        <x:v>周日报销客户招待，小票含儿童套餐和生日蛋糕，CRM无拜访，日历为家人生日。</x:v>
      </x:c>
      <x:c r="H14" s="65" t="str">
        <x:v>大模型</x:v>
      </x:c>
    </x:row>
    <x:row r="15">
      <x:c r="A15" s="66" t="str">
        <x:v>F</x:v>
      </x:c>
      <x:c r="B15" s="66" t="str">
        <x:v>行程与业务目的矛盾</x:v>
      </x:c>
      <x:c r="C15" s="66" t="str">
        <x:v>BX-42017</x:v>
      </x:c>
      <x:c r="D15" s="66" t="str">
        <x:v>需重点核查</x:v>
      </x:c>
      <x:c r="E15" s="66" t="str">
        <x:v>高</x:v>
      </x:c>
      <x:c r="F15" s="66" t="str">
        <x:v>expense_claims.csv|flight_records.csv|hotel_records.csv|customer_visits.csv|invoice_registry.csv</x:v>
      </x:c>
      <x:c r="G15" s="66" t="str">
        <x:v>报销称上海机场至苏州，航班、酒店和日历均指向南京，苏州无拜访，发票又存在外部重复引用。</x:v>
      </x:c>
      <x:c r="H15" s="66" t="str">
        <x:v>智能体</x:v>
      </x:c>
    </x:row>
    <x:row r="17" ht="42" customHeight="1">
      <x:c r="A17" s="69" t="str">
        <x:v>建议：先只看Claims工作表做人工筛查；然后逐步打开Invoices、Approvals、Flights、Hotels、CRM Visits、Receipt OCR和Calendar，观察证据如何改变判断。</x:v>
      </x:c>
      <x:c r="B17" s="69"/>
      <x:c r="C17" s="69"/>
      <x:c r="D17" s="69"/>
      <x:c r="E17" s="69"/>
      <x:c r="F17" s="69"/>
      <x:c r="G17" s="69"/>
      <x:c r="H17" s="69"/>
    </x:row>
  </x:sheetData>
  <x:mergeCells>
    <x:mergeCell ref="A1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4" hidden="0" customWidth="1"/>
    <x:col min="4" max="4" width="13" hidden="0" customWidth="1"/>
    <x:col min="5" max="5" width="13" hidden="0" customWidth="1"/>
    <x:col min="6" max="6" width="14" hidden="0" customWidth="1"/>
  </x:cols>
  <x:sheetData>
    <x:row r="1" ht="30" customHeight="1">
      <x:c r="A1" s="2" t="str">
        <x:v>员工主数据</x:v>
      </x:c>
      <x:c r="B1" s="2"/>
      <x:c r="C1" s="2"/>
      <x:c r="D1" s="2"/>
      <x:c r="E1" s="2"/>
      <x:c r="F1" s="2"/>
    </x:row>
    <x:row r="2" ht="24" customHeight="1">
      <x:c r="A2" s="5" t="str">
        <x:v>用employee_id关联员工、部门与所在城市。 所有数据均为教学用虚构内容。</x:v>
      </x:c>
      <x:c r="B2" s="5"/>
      <x:c r="C2" s="5"/>
      <x:c r="D2" s="5"/>
      <x:c r="E2" s="5"/>
      <x:c r="F2" s="5"/>
    </x:row>
    <x:row r="4" ht="24" customHeight="1">
      <x:c r="A4" s="8" t="str">
        <x:v>employee_id</x:v>
      </x:c>
      <x:c r="B4" s="8" t="str">
        <x:v>employee_name</x:v>
      </x:c>
      <x:c r="C4" s="8" t="str">
        <x:v>department</x:v>
      </x:c>
      <x:c r="D4" s="8" t="str">
        <x:v>home_city</x:v>
      </x:c>
      <x:c r="E4" s="8" t="str">
        <x:v>job_level</x:v>
      </x:c>
      <x:c r="F4" s="8" t="str">
        <x:v>manager_id</x:v>
      </x:c>
    </x:row>
    <x:row r="5">
      <x:c r="A5" s="13" t="str">
        <x:v>E1001</x:v>
      </x:c>
      <x:c r="B5" s="13" t="str">
        <x:v>张伟</x:v>
      </x:c>
      <x:c r="C5" s="13" t="str">
        <x:v>销售一部</x:v>
      </x:c>
      <x:c r="D5" s="13" t="str">
        <x:v>上海</x:v>
      </x:c>
      <x:c r="E5" s="13" t="str">
        <x:v>M2</x:v>
      </x:c>
      <x:c r="F5" s="13" t="str">
        <x:v>M9001</x:v>
      </x:c>
    </x:row>
    <x:row r="6">
      <x:c r="A6" s="14" t="str">
        <x:v>E1002</x:v>
      </x:c>
      <x:c r="B6" s="14" t="str">
        <x:v>李娜</x:v>
      </x:c>
      <x:c r="C6" s="14" t="str">
        <x:v>咨询事业部</x:v>
      </x:c>
      <x:c r="D6" s="14" t="str">
        <x:v>上海</x:v>
      </x:c>
      <x:c r="E6" s="14" t="str">
        <x:v>M1</x:v>
      </x:c>
      <x:c r="F6" s="14" t="str">
        <x:v>M9002</x:v>
      </x:c>
    </x:row>
    <x:row r="7">
      <x:c r="A7" s="14" t="str">
        <x:v>E1003</x:v>
      </x:c>
      <x:c r="B7" s="14" t="str">
        <x:v>王磊</x:v>
      </x:c>
      <x:c r="C7" s="14" t="str">
        <x:v>采购部</x:v>
      </x:c>
      <x:c r="D7" s="14" t="str">
        <x:v>北京</x:v>
      </x:c>
      <x:c r="E7" s="14" t="str">
        <x:v>M2</x:v>
      </x:c>
      <x:c r="F7" s="14" t="str">
        <x:v>M9003</x:v>
      </x:c>
    </x:row>
    <x:row r="8">
      <x:c r="A8" s="14" t="str">
        <x:v>E1004</x:v>
      </x:c>
      <x:c r="B8" s="14" t="str">
        <x:v>陈宇</x:v>
      </x:c>
      <x:c r="C8" s="14" t="str">
        <x:v>销售二部</x:v>
      </x:c>
      <x:c r="D8" s="14" t="str">
        <x:v>北京</x:v>
      </x:c>
      <x:c r="E8" s="14" t="str">
        <x:v>M2</x:v>
      </x:c>
      <x:c r="F8" s="14" t="str">
        <x:v>M9004</x:v>
      </x:c>
    </x:row>
    <x:row r="9">
      <x:c r="A9" s="14" t="str">
        <x:v>E1005</x:v>
      </x:c>
      <x:c r="B9" s="14" t="str">
        <x:v>刘芳</x:v>
      </x:c>
      <x:c r="C9" s="14" t="str">
        <x:v>财务部</x:v>
      </x:c>
      <x:c r="D9" s="14" t="str">
        <x:v>南京</x:v>
      </x:c>
      <x:c r="E9" s="14" t="str">
        <x:v>M1</x:v>
      </x:c>
      <x:c r="F9" s="14" t="str">
        <x:v>M9005</x:v>
      </x:c>
    </x:row>
    <x:row r="10">
      <x:c r="A10" s="14" t="str">
        <x:v>E1006</x:v>
      </x:c>
      <x:c r="B10" s="14" t="str">
        <x:v>赵敏</x:v>
      </x:c>
      <x:c r="C10" s="14" t="str">
        <x:v>咨询事业部</x:v>
      </x:c>
      <x:c r="D10" s="14" t="str">
        <x:v>北京</x:v>
      </x:c>
      <x:c r="E10" s="14" t="str">
        <x:v>M2</x:v>
      </x:c>
      <x:c r="F10" s="14" t="str">
        <x:v>M9002</x:v>
      </x:c>
    </x:row>
    <x:row r="11">
      <x:c r="A11" s="14" t="str">
        <x:v>E1007</x:v>
      </x:c>
      <x:c r="B11" s="14" t="str">
        <x:v>孙杰</x:v>
      </x:c>
      <x:c r="C11" s="14" t="str">
        <x:v>运营部</x:v>
      </x:c>
      <x:c r="D11" s="14" t="str">
        <x:v>成都</x:v>
      </x:c>
      <x:c r="E11" s="14" t="str">
        <x:v>M1</x:v>
      </x:c>
      <x:c r="F11" s="14" t="str">
        <x:v>M9006</x:v>
      </x:c>
    </x:row>
    <x:row r="12">
      <x:c r="A12" s="15" t="str">
        <x:v>E1008</x:v>
      </x:c>
      <x:c r="B12" s="15" t="str">
        <x:v>周林</x:v>
      </x:c>
      <x:c r="C12" s="15" t="str">
        <x:v>研发中心</x:v>
      </x:c>
      <x:c r="D12" s="15" t="str">
        <x:v>北京</x:v>
      </x:c>
      <x:c r="E12" s="15" t="str">
        <x:v>M2</x:v>
      </x:c>
      <x:c r="F12" s="15" t="str">
        <x:v>M9007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98fb87a7bac46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6" hidden="0" customWidth="1"/>
    <x:col min="5" max="5" width="14" hidden="0" customWidth="1"/>
    <x:col min="6" max="6" width="15" hidden="0" customWidth="1"/>
    <x:col min="7" max="7" width="17" hidden="0" customWidth="1"/>
    <x:col min="8" max="8" width="11" hidden="0" customWidth="1"/>
    <x:col min="9" max="9" width="25" hidden="0" customWidth="1"/>
    <x:col min="10" max="10" width="11" hidden="0" customWidth="1"/>
    <x:col min="11" max="11" width="14" hidden="0" customWidth="1"/>
    <x:col min="12" max="12" width="15" hidden="0" customWidth="1"/>
    <x:col min="13" max="13" width="19" hidden="0" customWidth="1"/>
    <x:col min="14" max="14" width="17" hidden="0" customWidth="1"/>
  </x:cols>
  <x:sheetData>
    <x:row r="1" ht="30" customHeight="1">
      <x:c r="A1" s="2" t="str">
        <x:v>报销明细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5" t="str">
        <x:v>核心事实表，每行一笔报销；toy sample共26笔。 所有数据均为教学用虚构内容。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24" customHeight="1">
      <x:c r="A4" s="8" t="str">
        <x:v>claim_id</x:v>
      </x:c>
      <x:c r="B4" s="8" t="str">
        <x:v>employee_id</x:v>
      </x:c>
      <x:c r="C4" s="8" t="str">
        <x:v>claim_date</x:v>
      </x:c>
      <x:c r="D4" s="8" t="str">
        <x:v>expense_type</x:v>
      </x:c>
      <x:c r="E4" s="8" t="str">
        <x:v>amount_cny</x:v>
      </x:c>
      <x:c r="F4" s="8" t="str">
        <x:v>merchant_id</x:v>
      </x:c>
      <x:c r="G4" s="8" t="str">
        <x:v>merchant_name</x:v>
      </x:c>
      <x:c r="H4" s="8" t="str">
        <x:v>city</x:v>
      </x:c>
      <x:c r="I4" s="8" t="str">
        <x:v>description</x:v>
      </x:c>
      <x:c r="J4" s="8" t="str">
        <x:v>trip_id</x:v>
      </x:c>
      <x:c r="K4" s="8" t="str">
        <x:v>invoice_no</x:v>
      </x:c>
      <x:c r="L4" s="8" t="str">
        <x:v>approval_id</x:v>
      </x:c>
      <x:c r="M4" s="8" t="str">
        <x:v>attachment_file</x:v>
      </x:c>
      <x:c r="N4" s="8" t="str">
        <x:v>teaching_case</x:v>
      </x:c>
    </x:row>
    <x:row r="5">
      <x:c r="A5" s="13" t="str">
        <x:v>BX-41001</x:v>
      </x:c>
      <x:c r="B5" s="13" t="str">
        <x:v>E1005</x:v>
      </x:c>
      <x:c r="C5" s="16" t="n">
        <x:v>46145</x:v>
      </x:c>
      <x:c r="D5" s="13" t="str">
        <x:v>住宿</x:v>
      </x:c>
      <x:c r="E5" s="19" t="n">
        <x:v>580</x:v>
      </x:c>
      <x:c r="F5" s="13" t="str">
        <x:v>V101</x:v>
      </x:c>
      <x:c r="G5" s="13" t="str">
        <x:v>南京中心酒店</x:v>
      </x:c>
      <x:c r="H5" s="13" t="str">
        <x:v>南京</x:v>
      </x:c>
      <x:c r="I5" s="13" t="str">
        <x:v>月结支持</x:v>
      </x:c>
      <x:c r="J5" s="13" t="str">
        <x:v>T1001</x:v>
      </x:c>
      <x:c r="K5" s="13" t="str">
        <x:v>INV-H-41001</x:v>
      </x:c>
      <x:c r="L5" s="13" t="str"/>
      <x:c r="M5" s="13" t="str">
        <x:v>receipt_BX-41001.pdf</x:v>
      </x:c>
      <x:c r="N5" s="13" t="str">
        <x:v>正常</x:v>
      </x:c>
    </x:row>
    <x:row r="6">
      <x:c r="A6" s="14" t="str">
        <x:v>BX-41002</x:v>
      </x:c>
      <x:c r="B6" s="14" t="str">
        <x:v>E1003</x:v>
      </x:c>
      <x:c r="C6" s="17" t="n">
        <x:v>46156</x:v>
      </x:c>
      <x:c r="D6" s="14" t="str">
        <x:v>住宿</x:v>
      </x:c>
      <x:c r="E6" s="20" t="n">
        <x:v>720</x:v>
      </x:c>
      <x:c r="F6" s="14" t="str">
        <x:v>V102</x:v>
      </x:c>
      <x:c r="G6" s="14" t="str">
        <x:v>上海浦东会展酒店</x:v>
      </x:c>
      <x:c r="H6" s="14" t="str">
        <x:v>上海</x:v>
      </x:c>
      <x:c r="I6" s="14" t="str">
        <x:v>参加工业博览会</x:v>
      </x:c>
      <x:c r="J6" s="14" t="str">
        <x:v>T1002</x:v>
      </x:c>
      <x:c r="K6" s="14" t="str">
        <x:v>INV-H-41002</x:v>
      </x:c>
      <x:c r="L6" s="14" t="str">
        <x:v>AP-SPECIAL-017</x:v>
      </x:c>
      <x:c r="M6" s="14" t="str">
        <x:v>receipt_BX-41002.pdf</x:v>
      </x:c>
      <x:c r="N6" s="14" t="str">
        <x:v>B-合理例外</x:v>
      </x:c>
    </x:row>
    <x:row r="7">
      <x:c r="A7" s="14" t="str">
        <x:v>BX-41003</x:v>
      </x:c>
      <x:c r="B7" s="14" t="str">
        <x:v>E1006</x:v>
      </x:c>
      <x:c r="C7" s="17" t="n">
        <x:v>46147</x:v>
      </x:c>
      <x:c r="D7" s="14" t="str">
        <x:v>机票</x:v>
      </x:c>
      <x:c r="E7" s="20" t="n">
        <x:v>1680</x:v>
      </x:c>
      <x:c r="F7" s="14" t="str">
        <x:v>V401</x:v>
      </x:c>
      <x:c r="G7" s="14" t="str">
        <x:v>华航票务</x:v>
      </x:c>
      <x:c r="H7" s="14" t="str">
        <x:v>深圳</x:v>
      </x:c>
      <x:c r="I7" s="14" t="str">
        <x:v>北京至深圳项目出差</x:v>
      </x:c>
      <x:c r="J7" s="14" t="str">
        <x:v>T1003</x:v>
      </x:c>
      <x:c r="K7" s="14" t="str">
        <x:v>INV-F-41003</x:v>
      </x:c>
      <x:c r="L7" s="14" t="str">
        <x:v>AP-41003</x:v>
      </x:c>
      <x:c r="M7" s="14" t="str">
        <x:v>receipt_BX-41003.pdf</x:v>
      </x:c>
      <x:c r="N7" s="14" t="str">
        <x:v>正常</x:v>
      </x:c>
    </x:row>
    <x:row r="8">
      <x:c r="A8" s="14" t="str">
        <x:v>BX-41004</x:v>
      </x:c>
      <x:c r="B8" s="14" t="str">
        <x:v>E1001</x:v>
      </x:c>
      <x:c r="C8" s="17" t="n">
        <x:v>46149</x:v>
      </x:c>
      <x:c r="D8" s="14" t="str">
        <x:v>客户餐费</x:v>
      </x:c>
      <x:c r="E8" s="20" t="n">
        <x:v>420</x:v>
      </x:c>
      <x:c r="F8" s="14" t="str">
        <x:v>V501</x:v>
      </x:c>
      <x:c r="G8" s="14" t="str">
        <x:v>杭州湖滨小馆</x:v>
      </x:c>
      <x:c r="H8" s="14" t="str">
        <x:v>杭州</x:v>
      </x:c>
      <x:c r="I8" s="14" t="str">
        <x:v>与华东零售客户沟通</x:v>
      </x:c>
      <x:c r="J8" s="14" t="str">
        <x:v>T1004</x:v>
      </x:c>
      <x:c r="K8" s="14" t="str">
        <x:v>INV-M-41004</x:v>
      </x:c>
      <x:c r="L8" s="14" t="str"/>
      <x:c r="M8" s="14" t="str">
        <x:v>receipt_BX-41004.pdf</x:v>
      </x:c>
      <x:c r="N8" s="14" t="str">
        <x:v>正常</x:v>
      </x:c>
    </x:row>
    <x:row r="9">
      <x:c r="A9" s="14" t="str">
        <x:v>BX-41005</x:v>
      </x:c>
      <x:c r="B9" s="14" t="str">
        <x:v>E1008</x:v>
      </x:c>
      <x:c r="C9" s="17" t="n">
        <x:v>46150</x:v>
      </x:c>
      <x:c r="D9" s="14" t="str">
        <x:v>出租车</x:v>
      </x:c>
      <x:c r="E9" s="20" t="n">
        <x:v>86</x:v>
      </x:c>
      <x:c r="F9" s="14" t="str">
        <x:v>V601</x:v>
      </x:c>
      <x:c r="G9" s="14" t="str">
        <x:v>上海城市出行</x:v>
      </x:c>
      <x:c r="H9" s="14" t="str">
        <x:v>上海</x:v>
      </x:c>
      <x:c r="I9" s="14" t="str">
        <x:v>研发中心至客户现场</x:v>
      </x:c>
      <x:c r="J9" s="14" t="str">
        <x:v>T1005</x:v>
      </x:c>
      <x:c r="K9" s="14" t="str">
        <x:v>INV-T-41005</x:v>
      </x:c>
      <x:c r="L9" s="14" t="str"/>
      <x:c r="M9" s="14" t="str">
        <x:v>receipt_BX-41005.pdf</x:v>
      </x:c>
      <x:c r="N9" s="14" t="str">
        <x:v>正常</x:v>
      </x:c>
    </x:row>
    <x:row r="10">
      <x:c r="A10" s="14" t="str">
        <x:v>BX-41120</x:v>
      </x:c>
      <x:c r="B10" s="14" t="str">
        <x:v>E1002</x:v>
      </x:c>
      <x:c r="C10" s="17" t="n">
        <x:v>46152</x:v>
      </x:c>
      <x:c r="D10" s="14" t="str">
        <x:v>高铁</x:v>
      </x:c>
      <x:c r="E10" s="20" t="n">
        <x:v>553</x:v>
      </x:c>
      <x:c r="F10" s="14" t="str">
        <x:v>V402</x:v>
      </x:c>
      <x:c r="G10" s="14" t="str">
        <x:v>铁路客运</x:v>
      </x:c>
      <x:c r="H10" s="14" t="str">
        <x:v>苏州</x:v>
      </x:c>
      <x:c r="I10" s="14" t="str">
        <x:v>上海至苏州项目出差</x:v>
      </x:c>
      <x:c r="J10" s="14" t="str">
        <x:v>T1006</x:v>
      </x:c>
      <x:c r="K10" s="14" t="str">
        <x:v>INV-R-41120</x:v>
      </x:c>
      <x:c r="L10" s="14" t="str"/>
      <x:c r="M10" s="14" t="str">
        <x:v>receipt_BX-41120.pdf</x:v>
      </x:c>
      <x:c r="N10" s="14" t="str">
        <x:v>正常</x:v>
      </x:c>
    </x:row>
    <x:row r="11">
      <x:c r="A11" s="14" t="str">
        <x:v>BX-41208</x:v>
      </x:c>
      <x:c r="B11" s="14" t="str">
        <x:v>E1007</x:v>
      </x:c>
      <x:c r="C11" s="17" t="n">
        <x:v>46153</x:v>
      </x:c>
      <x:c r="D11" s="14" t="str">
        <x:v>住宿</x:v>
      </x:c>
      <x:c r="E11" s="20" t="n">
        <x:v>540</x:v>
      </x:c>
      <x:c r="F11" s="14" t="str">
        <x:v>V103</x:v>
      </x:c>
      <x:c r="G11" s="14" t="str">
        <x:v>成都高新酒店</x:v>
      </x:c>
      <x:c r="H11" s="14" t="str">
        <x:v>成都</x:v>
      </x:c>
      <x:c r="I11" s="14" t="str">
        <x:v>供应商现场核验</x:v>
      </x:c>
      <x:c r="J11" s="14" t="str">
        <x:v>T1007</x:v>
      </x:c>
      <x:c r="K11" s="14" t="str">
        <x:v>INV-H-41208</x:v>
      </x:c>
      <x:c r="L11" s="14" t="str"/>
      <x:c r="M11" s="14" t="str">
        <x:v>receipt_BX-41208.pdf</x:v>
      </x:c>
      <x:c r="N11" s="14" t="str">
        <x:v>正常</x:v>
      </x:c>
    </x:row>
    <x:row r="12">
      <x:c r="A12" s="14" t="str">
        <x:v>BX-41315</x:v>
      </x:c>
      <x:c r="B12" s="14" t="str">
        <x:v>E1004</x:v>
      </x:c>
      <x:c r="C12" s="17" t="n">
        <x:v>46154</x:v>
      </x:c>
      <x:c r="D12" s="14" t="str">
        <x:v>客户餐费</x:v>
      </x:c>
      <x:c r="E12" s="20" t="n">
        <x:v>680</x:v>
      </x:c>
      <x:c r="F12" s="14" t="str">
        <x:v>V502</x:v>
      </x:c>
      <x:c r="G12" s="14" t="str">
        <x:v>南京金陵餐厅</x:v>
      </x:c>
      <x:c r="H12" s="14" t="str">
        <x:v>南京</x:v>
      </x:c>
      <x:c r="I12" s="14" t="str">
        <x:v>客户项目晚餐</x:v>
      </x:c>
      <x:c r="J12" s="14" t="str">
        <x:v>T1008</x:v>
      </x:c>
      <x:c r="K12" s="14" t="str">
        <x:v>INV-M-41315</x:v>
      </x:c>
      <x:c r="L12" s="14" t="str">
        <x:v>AP-41315</x:v>
      </x:c>
      <x:c r="M12" s="14" t="str">
        <x:v>receipt_BX-41315.pdf</x:v>
      </x:c>
      <x:c r="N12" s="14" t="str">
        <x:v>正常</x:v>
      </x:c>
    </x:row>
    <x:row r="13">
      <x:c r="A13" s="14" t="str">
        <x:v>BX-41403</x:v>
      </x:c>
      <x:c r="B13" s="14" t="str">
        <x:v>E1005</x:v>
      </x:c>
      <x:c r="C13" s="17" t="n">
        <x:v>46155</x:v>
      </x:c>
      <x:c r="D13" s="14" t="str">
        <x:v>办公用品</x:v>
      </x:c>
      <x:c r="E13" s="20" t="n">
        <x:v>320</x:v>
      </x:c>
      <x:c r="F13" s="14" t="str">
        <x:v>V201</x:v>
      </x:c>
      <x:c r="G13" s="14" t="str">
        <x:v>宁苏办公用品</x:v>
      </x:c>
      <x:c r="H13" s="14" t="str">
        <x:v>南京</x:v>
      </x:c>
      <x:c r="I13" s="14" t="str">
        <x:v>财务档案盒与标签</x:v>
      </x:c>
      <x:c r="J13" s="14" t="str"/>
      <x:c r="K13" s="14" t="str">
        <x:v>INV-O-41403</x:v>
      </x:c>
      <x:c r="L13" s="14" t="str"/>
      <x:c r="M13" s="14" t="str">
        <x:v>receipt_BX-41403.pdf</x:v>
      </x:c>
      <x:c r="N13" s="14" t="str">
        <x:v>正常</x:v>
      </x:c>
    </x:row>
    <x:row r="14">
      <x:c r="A14" s="14" t="str">
        <x:v>BX-41509</x:v>
      </x:c>
      <x:c r="B14" s="14" t="str">
        <x:v>E1006</x:v>
      </x:c>
      <x:c r="C14" s="17" t="n">
        <x:v>46157</x:v>
      </x:c>
      <x:c r="D14" s="14" t="str">
        <x:v>出租车</x:v>
      </x:c>
      <x:c r="E14" s="20" t="n">
        <x:v>142</x:v>
      </x:c>
      <x:c r="F14" s="14" t="str">
        <x:v>V602</x:v>
      </x:c>
      <x:c r="G14" s="14" t="str">
        <x:v>深圳城市出行</x:v>
      </x:c>
      <x:c r="H14" s="14" t="str">
        <x:v>深圳</x:v>
      </x:c>
      <x:c r="I14" s="14" t="str">
        <x:v>机场至项目现场</x:v>
      </x:c>
      <x:c r="J14" s="14" t="str">
        <x:v>T1003</x:v>
      </x:c>
      <x:c r="K14" s="14" t="str">
        <x:v>INV-T-41509</x:v>
      </x:c>
      <x:c r="L14" s="14" t="str"/>
      <x:c r="M14" s="14" t="str">
        <x:v>receipt_BX-41509.pdf</x:v>
      </x:c>
      <x:c r="N14" s="14" t="str">
        <x:v>正常</x:v>
      </x:c>
    </x:row>
    <x:row r="15">
      <x:c r="A15" s="14" t="str">
        <x:v>BX-41610</x:v>
      </x:c>
      <x:c r="B15" s="14" t="str">
        <x:v>E1008</x:v>
      </x:c>
      <x:c r="C15" s="17" t="n">
        <x:v>46158</x:v>
      </x:c>
      <x:c r="D15" s="14" t="str">
        <x:v>办公用品</x:v>
      </x:c>
      <x:c r="E15" s="20" t="n">
        <x:v>1280</x:v>
      </x:c>
      <x:c r="F15" s="14" t="str">
        <x:v>V205</x:v>
      </x:c>
      <x:c r="G15" s="14" t="str">
        <x:v>北京星辉办公</x:v>
      </x:c>
      <x:c r="H15" s="14" t="str">
        <x:v>北京</x:v>
      </x:c>
      <x:c r="I15" s="14" t="str">
        <x:v>研发项目耗材</x:v>
      </x:c>
      <x:c r="J15" s="14" t="str"/>
      <x:c r="K15" s="14" t="str">
        <x:v>INV-O-77821</x:v>
      </x:c>
      <x:c r="L15" s="14" t="str">
        <x:v>AP-41610</x:v>
      </x:c>
      <x:c r="M15" s="14" t="str">
        <x:v>scan_41610.pdf</x:v>
      </x:c>
      <x:c r="N15" s="14" t="str">
        <x:v>A-重复发票</x:v>
      </x:c>
    </x:row>
    <x:row r="16">
      <x:c r="A16" s="14" t="str">
        <x:v>BX-41704</x:v>
      </x:c>
      <x:c r="B16" s="14" t="str">
        <x:v>E1001</x:v>
      </x:c>
      <x:c r="C16" s="17" t="n">
        <x:v>46159</x:v>
      </x:c>
      <x:c r="D16" s="14" t="str">
        <x:v>住宿</x:v>
      </x:c>
      <x:c r="E16" s="20" t="n">
        <x:v>590</x:v>
      </x:c>
      <x:c r="F16" s="14" t="str">
        <x:v>V104</x:v>
      </x:c>
      <x:c r="G16" s="14" t="str">
        <x:v>杭州西湖商务酒店</x:v>
      </x:c>
      <x:c r="H16" s="14" t="str">
        <x:v>杭州</x:v>
      </x:c>
      <x:c r="I16" s="14" t="str">
        <x:v>零售客户拜访</x:v>
      </x:c>
      <x:c r="J16" s="14" t="str">
        <x:v>T1010</x:v>
      </x:c>
      <x:c r="K16" s="14" t="str">
        <x:v>INV-H-41704</x:v>
      </x:c>
      <x:c r="L16" s="14" t="str"/>
      <x:c r="M16" s="14" t="str">
        <x:v>receipt_BX-41704.pdf</x:v>
      </x:c>
      <x:c r="N16" s="14" t="str">
        <x:v>正常</x:v>
      </x:c>
    </x:row>
    <x:row r="17">
      <x:c r="A17" s="14" t="str">
        <x:v>BX-41735</x:v>
      </x:c>
      <x:c r="B17" s="14" t="str">
        <x:v>E1003</x:v>
      </x:c>
      <x:c r="C17" s="17" t="n">
        <x:v>46159</x:v>
      </x:c>
      <x:c r="D17" s="14" t="str">
        <x:v>高铁</x:v>
      </x:c>
      <x:c r="E17" s="20" t="n">
        <x:v>728</x:v>
      </x:c>
      <x:c r="F17" s="14" t="str">
        <x:v>V402</x:v>
      </x:c>
      <x:c r="G17" s="14" t="str">
        <x:v>铁路客运</x:v>
      </x:c>
      <x:c r="H17" s="14" t="str">
        <x:v>上海</x:v>
      </x:c>
      <x:c r="I17" s="14" t="str">
        <x:v>北京至上海采购谈判</x:v>
      </x:c>
      <x:c r="J17" s="14" t="str">
        <x:v>T1011</x:v>
      </x:c>
      <x:c r="K17" s="14" t="str">
        <x:v>INV-R-41735</x:v>
      </x:c>
      <x:c r="L17" s="14" t="str">
        <x:v>AP-41735</x:v>
      </x:c>
      <x:c r="M17" s="14" t="str">
        <x:v>receipt_BX-41735.pdf</x:v>
      </x:c>
      <x:c r="N17" s="14" t="str">
        <x:v>正常</x:v>
      </x:c>
    </x:row>
    <x:row r="18">
      <x:c r="A18" s="14" t="str">
        <x:v>BX-42017</x:v>
      </x:c>
      <x:c r="B18" s="14" t="str">
        <x:v>E1004</x:v>
      </x:c>
      <x:c r="C18" s="17" t="n">
        <x:v>46160</x:v>
      </x:c>
      <x:c r="D18" s="14" t="str">
        <x:v>出租车</x:v>
      </x:c>
      <x:c r="E18" s="20" t="n">
        <x:v>468</x:v>
      </x:c>
      <x:c r="F18" s="14" t="str">
        <x:v>V603</x:v>
      </x:c>
      <x:c r="G18" s="14" t="str">
        <x:v>长三角商务出行</x:v>
      </x:c>
      <x:c r="H18" s="14" t="str">
        <x:v>苏州</x:v>
      </x:c>
      <x:c r="I18" s="14" t="str">
        <x:v>上海机场至苏州客户</x:v>
      </x:c>
      <x:c r="J18" s="14" t="str">
        <x:v>T2017</x:v>
      </x:c>
      <x:c r="K18" s="14" t="str">
        <x:v>INV-T-42017</x:v>
      </x:c>
      <x:c r="L18" s="14" t="str">
        <x:v>AP-42017</x:v>
      </x:c>
      <x:c r="M18" s="14" t="str">
        <x:v>receipt_BX-42017.pdf</x:v>
      </x:c>
      <x:c r="N18" s="14" t="str">
        <x:v>F-行程矛盾</x:v>
      </x:c>
    </x:row>
    <x:row r="19">
      <x:c r="A19" s="14" t="str">
        <x:v>BX-41881</x:v>
      </x:c>
      <x:c r="B19" s="14" t="str">
        <x:v>E1002</x:v>
      </x:c>
      <x:c r="C19" s="17" t="n">
        <x:v>46163</x:v>
      </x:c>
      <x:c r="D19" s="14" t="str">
        <x:v>材料费</x:v>
      </x:c>
      <x:c r="E19" s="20" t="n">
        <x:v>1960</x:v>
      </x:c>
      <x:c r="F19" s="14" t="str">
        <x:v>V301</x:v>
      </x:c>
      <x:c r="G19" s="14" t="str">
        <x:v>苏州启航资料服务中心</x:v>
      </x:c>
      <x:c r="H19" s="14" t="str">
        <x:v>苏州</x:v>
      </x:c>
      <x:c r="I19" s="14" t="str">
        <x:v>项目资料整理一期</x:v>
      </x:c>
      <x:c r="J19" s="14" t="str">
        <x:v>T2021</x:v>
      </x:c>
      <x:c r="K19" s="14" t="str">
        <x:v>INV-S-41881</x:v>
      </x:c>
      <x:c r="L19" s="14" t="str"/>
      <x:c r="M19" s="14" t="str">
        <x:v>receipt_BX-41881.pdf</x:v>
      </x:c>
      <x:c r="N19" s="14" t="str">
        <x:v>C-拆分报销</x:v>
      </x:c>
    </x:row>
    <x:row r="20">
      <x:c r="A20" s="14" t="str">
        <x:v>BX-41882</x:v>
      </x:c>
      <x:c r="B20" s="14" t="str">
        <x:v>E1002</x:v>
      </x:c>
      <x:c r="C20" s="17" t="n">
        <x:v>46163</x:v>
      </x:c>
      <x:c r="D20" s="14" t="str">
        <x:v>材料费</x:v>
      </x:c>
      <x:c r="E20" s="20" t="n">
        <x:v>1980</x:v>
      </x:c>
      <x:c r="F20" s="14" t="str">
        <x:v>V301</x:v>
      </x:c>
      <x:c r="G20" s="14" t="str">
        <x:v>苏州启航资料服务中心</x:v>
      </x:c>
      <x:c r="H20" s="14" t="str">
        <x:v>苏州</x:v>
      </x:c>
      <x:c r="I20" s="14" t="str">
        <x:v>项目资料整理二期</x:v>
      </x:c>
      <x:c r="J20" s="14" t="str">
        <x:v>T2021</x:v>
      </x:c>
      <x:c r="K20" s="14" t="str">
        <x:v>INV-S-41882</x:v>
      </x:c>
      <x:c r="L20" s="14" t="str"/>
      <x:c r="M20" s="14" t="str">
        <x:v>receipt_BX-41882.pdf</x:v>
      </x:c>
      <x:c r="N20" s="14" t="str">
        <x:v>C-拆分报销</x:v>
      </x:c>
    </x:row>
    <x:row r="21">
      <x:c r="A21" s="14" t="str">
        <x:v>BX-41883</x:v>
      </x:c>
      <x:c r="B21" s="14" t="str">
        <x:v>E1002</x:v>
      </x:c>
      <x:c r="C21" s="17" t="n">
        <x:v>46164</x:v>
      </x:c>
      <x:c r="D21" s="14" t="str">
        <x:v>材料费</x:v>
      </x:c>
      <x:c r="E21" s="20" t="n">
        <x:v>1950</x:v>
      </x:c>
      <x:c r="F21" s="14" t="str">
        <x:v>V301</x:v>
      </x:c>
      <x:c r="G21" s="14" t="str">
        <x:v>苏州启航资料服务中心</x:v>
      </x:c>
      <x:c r="H21" s="14" t="str">
        <x:v>苏州</x:v>
      </x:c>
      <x:c r="I21" s="14" t="str">
        <x:v>项目资料扫描一期</x:v>
      </x:c>
      <x:c r="J21" s="14" t="str">
        <x:v>T2021</x:v>
      </x:c>
      <x:c r="K21" s="14" t="str">
        <x:v>INV-S-41883</x:v>
      </x:c>
      <x:c r="L21" s="14" t="str"/>
      <x:c r="M21" s="14" t="str">
        <x:v>receipt_BX-41883.pdf</x:v>
      </x:c>
      <x:c r="N21" s="14" t="str">
        <x:v>C-拆分报销</x:v>
      </x:c>
    </x:row>
    <x:row r="22">
      <x:c r="A22" s="14" t="str">
        <x:v>BX-41884</x:v>
      </x:c>
      <x:c r="B22" s="14" t="str">
        <x:v>E1002</x:v>
      </x:c>
      <x:c r="C22" s="17" t="n">
        <x:v>46164</x:v>
      </x:c>
      <x:c r="D22" s="14" t="str">
        <x:v>材料费</x:v>
      </x:c>
      <x:c r="E22" s="20" t="n">
        <x:v>1990</x:v>
      </x:c>
      <x:c r="F22" s="14" t="str">
        <x:v>V301</x:v>
      </x:c>
      <x:c r="G22" s="14" t="str">
        <x:v>苏州启航资料服务中心</x:v>
      </x:c>
      <x:c r="H22" s="14" t="str">
        <x:v>苏州</x:v>
      </x:c>
      <x:c r="I22" s="14" t="str">
        <x:v>项目资料扫描二期</x:v>
      </x:c>
      <x:c r="J22" s="14" t="str">
        <x:v>T2021</x:v>
      </x:c>
      <x:c r="K22" s="14" t="str">
        <x:v>INV-S-41884</x:v>
      </x:c>
      <x:c r="L22" s="14" t="str"/>
      <x:c r="M22" s="14" t="str">
        <x:v>receipt_BX-41884.pdf</x:v>
      </x:c>
      <x:c r="N22" s="14" t="str">
        <x:v>C-拆分报销</x:v>
      </x:c>
    </x:row>
    <x:row r="23">
      <x:c r="A23" s="14" t="str">
        <x:v>BX-41902</x:v>
      </x:c>
      <x:c r="B23" s="14" t="str">
        <x:v>E1007</x:v>
      </x:c>
      <x:c r="C23" s="17" t="n">
        <x:v>46164</x:v>
      </x:c>
      <x:c r="D23" s="14" t="str">
        <x:v>办公用品</x:v>
      </x:c>
      <x:c r="E23" s="20" t="n">
        <x:v>1280</x:v>
      </x:c>
      <x:c r="F23" s="14" t="str">
        <x:v>V205</x:v>
      </x:c>
      <x:c r="G23" s="14" t="str">
        <x:v>北京星辉办公</x:v>
      </x:c>
      <x:c r="H23" s="14" t="str">
        <x:v>北京</x:v>
      </x:c>
      <x:c r="I23" s="14" t="str">
        <x:v>运营中心耗材</x:v>
      </x:c>
      <x:c r="J23" s="14" t="str"/>
      <x:c r="K23" s="14" t="str">
        <x:v>INV-O-77821</x:v>
      </x:c>
      <x:c r="L23" s="14" t="str">
        <x:v>AP-41902</x:v>
      </x:c>
      <x:c r="M23" s="14" t="str">
        <x:v>office_may_copy.pdf</x:v>
      </x:c>
      <x:c r="N23" s="14" t="str">
        <x:v>A-重复发票</x:v>
      </x:c>
    </x:row>
    <x:row r="24">
      <x:c r="A24" s="14" t="str">
        <x:v>BX-42110</x:v>
      </x:c>
      <x:c r="B24" s="14" t="str">
        <x:v>E1005</x:v>
      </x:c>
      <x:c r="C24" s="17" t="n">
        <x:v>46164</x:v>
      </x:c>
      <x:c r="D24" s="14" t="str">
        <x:v>工作餐</x:v>
      </x:c>
      <x:c r="E24" s="20" t="n">
        <x:v>360</x:v>
      </x:c>
      <x:c r="F24" s="14" t="str">
        <x:v>V503</x:v>
      </x:c>
      <x:c r="G24" s="14" t="str">
        <x:v>南京中央路餐厅</x:v>
      </x:c>
      <x:c r="H24" s="14" t="str">
        <x:v>南京</x:v>
      </x:c>
      <x:c r="I24" s="14" t="str">
        <x:v>月末结账加班餐</x:v>
      </x:c>
      <x:c r="J24" s="14" t="str"/>
      <x:c r="K24" s="14" t="str">
        <x:v>INV-M-42110</x:v>
      </x:c>
      <x:c r="L24" s="14" t="str"/>
      <x:c r="M24" s="14" t="str">
        <x:v>receipt_BX-42110.pdf</x:v>
      </x:c>
      <x:c r="N24" s="14" t="str">
        <x:v>正常</x:v>
      </x:c>
    </x:row>
    <x:row r="25">
      <x:c r="A25" s="14" t="str">
        <x:v>BX-42306</x:v>
      </x:c>
      <x:c r="B25" s="14" t="str">
        <x:v>E1007</x:v>
      </x:c>
      <x:c r="C25" s="17" t="n">
        <x:v>46165</x:v>
      </x:c>
      <x:c r="D25" s="14" t="str">
        <x:v>出租车</x:v>
      </x:c>
      <x:c r="E25" s="20" t="n">
        <x:v>286</x:v>
      </x:c>
      <x:c r="F25" s="14" t="str">
        <x:v>V604</x:v>
      </x:c>
      <x:c r="G25" s="14" t="str">
        <x:v>成都快行出租</x:v>
      </x:c>
      <x:c r="H25" s="14" t="str">
        <x:v>成都</x:v>
      </x:c>
      <x:c r="I25" s="14" t="str">
        <x:v>市内交通</x:v>
      </x:c>
      <x:c r="J25" s="14" t="str">
        <x:v>T2023</x:v>
      </x:c>
      <x:c r="K25" s="14" t="str">
        <x:v>INV-T-42306</x:v>
      </x:c>
      <x:c r="L25" s="14" t="str"/>
      <x:c r="M25" s="14" t="str">
        <x:v>receipt_BX-42306.png</x:v>
      </x:c>
      <x:c r="N25" s="14" t="str">
        <x:v>D-票据修改</x:v>
      </x:c>
    </x:row>
    <x:row r="26">
      <x:c r="A26" s="14" t="str">
        <x:v>BX-42401</x:v>
      </x:c>
      <x:c r="B26" s="14" t="str">
        <x:v>E1006</x:v>
      </x:c>
      <x:c r="C26" s="17" t="n">
        <x:v>46165</x:v>
      </x:c>
      <x:c r="D26" s="14" t="str">
        <x:v>机票</x:v>
      </x:c>
      <x:c r="E26" s="20" t="n">
        <x:v>2200</x:v>
      </x:c>
      <x:c r="F26" s="14" t="str">
        <x:v>V401</x:v>
      </x:c>
      <x:c r="G26" s="14" t="str">
        <x:v>华航票务</x:v>
      </x:c>
      <x:c r="H26" s="14" t="str">
        <x:v>广州</x:v>
      </x:c>
      <x:c r="I26" s="14" t="str">
        <x:v>紧急项目支持</x:v>
      </x:c>
      <x:c r="J26" s="14" t="str">
        <x:v>T2024</x:v>
      </x:c>
      <x:c r="K26" s="14" t="str">
        <x:v>INV-F-42401</x:v>
      </x:c>
      <x:c r="L26" s="14" t="str">
        <x:v>AP-42401</x:v>
      </x:c>
      <x:c r="M26" s="14" t="str">
        <x:v>receipt_BX-42401.pdf</x:v>
      </x:c>
      <x:c r="N26" s="14" t="str">
        <x:v>正常</x:v>
      </x:c>
    </x:row>
    <x:row r="27">
      <x:c r="A27" s="14" t="str">
        <x:v>BX-42519</x:v>
      </x:c>
      <x:c r="B27" s="14" t="str">
        <x:v>E1001</x:v>
      </x:c>
      <x:c r="C27" s="17" t="n">
        <x:v>46166</x:v>
      </x:c>
      <x:c r="D27" s="14" t="str">
        <x:v>客户招待</x:v>
      </x:c>
      <x:c r="E27" s="20" t="n">
        <x:v>988</x:v>
      </x:c>
      <x:c r="F27" s="14" t="str">
        <x:v>V505</x:v>
      </x:c>
      <x:c r="G27" s="14" t="str">
        <x:v>上海欢乐时光餐厅</x:v>
      </x:c>
      <x:c r="H27" s="14" t="str">
        <x:v>上海</x:v>
      </x:c>
      <x:c r="I27" s="14" t="str">
        <x:v>客户沟通</x:v>
      </x:c>
      <x:c r="J27" s="14" t="str">
        <x:v>T2025</x:v>
      </x:c>
      <x:c r="K27" s="14" t="str">
        <x:v>INV-M-42519</x:v>
      </x:c>
      <x:c r="L27" s="14" t="str">
        <x:v>AP-42519</x:v>
      </x:c>
      <x:c r="M27" s="14" t="str">
        <x:v>receipt_BX-42519.pdf</x:v>
      </x:c>
      <x:c r="N27" s="14" t="str">
        <x:v>E-个人消费伪装</x:v>
      </x:c>
    </x:row>
    <x:row r="28">
      <x:c r="A28" s="14" t="str">
        <x:v>BX-42611</x:v>
      </x:c>
      <x:c r="B28" s="14" t="str">
        <x:v>E1003</x:v>
      </x:c>
      <x:c r="C28" s="17" t="n">
        <x:v>46167</x:v>
      </x:c>
      <x:c r="D28" s="14" t="str">
        <x:v>住宿</x:v>
      </x:c>
      <x:c r="E28" s="20" t="n">
        <x:v>560</x:v>
      </x:c>
      <x:c r="F28" s="14" t="str">
        <x:v>V105</x:v>
      </x:c>
      <x:c r="G28" s="14" t="str">
        <x:v>苏州工业园酒店</x:v>
      </x:c>
      <x:c r="H28" s="14" t="str">
        <x:v>苏州</x:v>
      </x:c>
      <x:c r="I28" s="14" t="str">
        <x:v>供应商审查</x:v>
      </x:c>
      <x:c r="J28" s="14" t="str">
        <x:v>T2026</x:v>
      </x:c>
      <x:c r="K28" s="14" t="str">
        <x:v>INV-H-42611</x:v>
      </x:c>
      <x:c r="L28" s="14" t="str"/>
      <x:c r="M28" s="14" t="str">
        <x:v>receipt_BX-42611.pdf</x:v>
      </x:c>
      <x:c r="N28" s="14" t="str">
        <x:v>正常</x:v>
      </x:c>
    </x:row>
    <x:row r="29">
      <x:c r="A29" s="14" t="str">
        <x:v>BX-42702</x:v>
      </x:c>
      <x:c r="B29" s="14" t="str">
        <x:v>E1008</x:v>
      </x:c>
      <x:c r="C29" s="17" t="n">
        <x:v>46169</x:v>
      </x:c>
      <x:c r="D29" s="14" t="str">
        <x:v>机票</x:v>
      </x:c>
      <x:c r="E29" s="20" t="n">
        <x:v>5480</x:v>
      </x:c>
      <x:c r="F29" s="14" t="str">
        <x:v>V401</x:v>
      </x:c>
      <x:c r="G29" s="14" t="str">
        <x:v>华航票务</x:v>
      </x:c>
      <x:c r="H29" s="14" t="str">
        <x:v>北京</x:v>
      </x:c>
      <x:c r="I29" s="14" t="str">
        <x:v>海外研发会议转国内返程</x:v>
      </x:c>
      <x:c r="J29" s="14" t="str">
        <x:v>T2027</x:v>
      </x:c>
      <x:c r="K29" s="14" t="str">
        <x:v>INV-F-42702</x:v>
      </x:c>
      <x:c r="L29" s="14" t="str">
        <x:v>AP-42702</x:v>
      </x:c>
      <x:c r="M29" s="14" t="str">
        <x:v>receipt_BX-42702.pdf</x:v>
      </x:c>
      <x:c r="N29" s="14" t="str">
        <x:v>正常</x:v>
      </x:c>
    </x:row>
    <x:row r="30">
      <x:c r="A30" s="15" t="str">
        <x:v>BX-42820</x:v>
      </x:c>
      <x:c r="B30" s="15" t="str">
        <x:v>E1005</x:v>
      </x:c>
      <x:c r="C30" s="18" t="n">
        <x:v>46170</x:v>
      </x:c>
      <x:c r="D30" s="15" t="str">
        <x:v>出租车</x:v>
      </x:c>
      <x:c r="E30" s="21" t="n">
        <x:v>118</x:v>
      </x:c>
      <x:c r="F30" s="15" t="str">
        <x:v>V605</x:v>
      </x:c>
      <x:c r="G30" s="15" t="str">
        <x:v>南京城市出行</x:v>
      </x:c>
      <x:c r="H30" s="15" t="str">
        <x:v>南京</x:v>
      </x:c>
      <x:c r="I30" s="15" t="str">
        <x:v>银行函证现场办理</x:v>
      </x:c>
      <x:c r="J30" s="15" t="str">
        <x:v>T2028</x:v>
      </x:c>
      <x:c r="K30" s="15" t="str">
        <x:v>INV-T-42820</x:v>
      </x:c>
      <x:c r="L30" s="15" t="str"/>
      <x:c r="M30" s="15" t="str">
        <x:v>receipt_BX-42820.pdf</x:v>
      </x:c>
      <x:c r="N30" s="15" t="str">
        <x:v>正常</x:v>
      </x:c>
    </x:row>
  </x:sheetData>
  <x:mergeCells>
    <x:mergeCell ref="A1:N1"/>
    <x:mergeCell ref="A2:N2"/>
  </x:mergeCells>
  <x:conditionalFormatting sqref="N5:N30">
    <x:cfRule type="containsText" dxfId="0" priority="1" operator="containsText" text="正常"/>
    <x:cfRule type="notContainsText" dxfId="1" priority="2" text="正常"/>
  </x:conditionalFormatting>
  <x:pageMargins left="0.7" right="0.7" top="0.75" bottom="0.75" header="0.3" footer="0.3"/>
  <x:tableParts count="1">
    <x:tablePart xmlns:r="http://schemas.openxmlformats.org/officeDocument/2006/relationships" r:id="Rcf193ee1fe6c41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4" hidden="0" customWidth="1"/>
    <x:col min="4" max="4" width="17" hidden="0" customWidth="1"/>
    <x:col min="5" max="5" width="15" hidden="0" customWidth="1"/>
    <x:col min="6" max="6" width="14" hidden="0" customWidth="1"/>
    <x:col min="7" max="7" width="17" hidden="0" customWidth="1"/>
    <x:col min="8" max="8" width="19" hidden="0" customWidth="1"/>
    <x:col min="9" max="9" width="19" hidden="0" customWidth="1"/>
    <x:col min="10" max="10" width="25" hidden="0" customWidth="1"/>
  </x:cols>
  <x:sheetData>
    <x:row r="1" ht="30" customHeight="1">
      <x:c r="A1" s="2" t="str">
        <x:v>发票查验与重复库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5" t="str">
        <x:v>包含发票真伪、平台金额和重复使用线索。 所有数据均为教学用虚构内容。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4" customHeight="1">
      <x:c r="A4" s="8" t="str">
        <x:v>invoice_record_id</x:v>
      </x:c>
      <x:c r="B4" s="8" t="str">
        <x:v>claim_id</x:v>
      </x:c>
      <x:c r="C4" s="8" t="str">
        <x:v>invoice_no</x:v>
      </x:c>
      <x:c r="D4" s="8" t="str">
        <x:v>invoice_date</x:v>
      </x:c>
      <x:c r="E4" s="8" t="str">
        <x:v>seller_name</x:v>
      </x:c>
      <x:c r="F4" s="8" t="str">
        <x:v>invoice_amount_cny</x:v>
      </x:c>
      <x:c r="G4" s="8" t="str">
        <x:v>invoice_valid</x:v>
      </x:c>
      <x:c r="H4" s="8" t="str">
        <x:v>attachment_file</x:v>
      </x:c>
      <x:c r="I4" s="8" t="str">
        <x:v>duplicate_scope</x:v>
      </x:c>
      <x:c r="J4" s="8" t="str">
        <x:v>duplicate_reference</x:v>
      </x:c>
    </x:row>
    <x:row r="5">
      <x:c r="A5" s="13" t="str">
        <x:v>IR-001</x:v>
      </x:c>
      <x:c r="B5" s="13" t="str">
        <x:v>BX-41001</x:v>
      </x:c>
      <x:c r="C5" s="13" t="str">
        <x:v>INV-H-41001</x:v>
      </x:c>
      <x:c r="D5" s="16" t="n">
        <x:v>46145</x:v>
      </x:c>
      <x:c r="E5" s="13" t="str">
        <x:v>南京中心酒店</x:v>
      </x:c>
      <x:c r="F5" s="19" t="n">
        <x:v>580</x:v>
      </x:c>
      <x:c r="G5" s="27" t="b">
        <x:v>1</x:v>
      </x:c>
      <x:c r="H5" s="13" t="str">
        <x:v>receipt_BX-41001.pdf</x:v>
      </x:c>
      <x:c r="I5" s="13" t="str">
        <x:v>无</x:v>
      </x:c>
      <x:c r="J5" s="13" t="str"/>
    </x:row>
    <x:row r="6">
      <x:c r="A6" s="14" t="str">
        <x:v>IR-002</x:v>
      </x:c>
      <x:c r="B6" s="14" t="str">
        <x:v>BX-41002</x:v>
      </x:c>
      <x:c r="C6" s="14" t="str">
        <x:v>INV-H-41002</x:v>
      </x:c>
      <x:c r="D6" s="17" t="n">
        <x:v>46156</x:v>
      </x:c>
      <x:c r="E6" s="14" t="str">
        <x:v>上海浦东会展酒店</x:v>
      </x:c>
      <x:c r="F6" s="20" t="n">
        <x:v>720</x:v>
      </x:c>
      <x:c r="G6" s="28" t="b">
        <x:v>1</x:v>
      </x:c>
      <x:c r="H6" s="14" t="str">
        <x:v>receipt_BX-41002.pdf</x:v>
      </x:c>
      <x:c r="I6" s="14" t="str">
        <x:v>无</x:v>
      </x:c>
      <x:c r="J6" s="14" t="str"/>
    </x:row>
    <x:row r="7">
      <x:c r="A7" s="14" t="str">
        <x:v>IR-003</x:v>
      </x:c>
      <x:c r="B7" s="14" t="str">
        <x:v>BX-41003</x:v>
      </x:c>
      <x:c r="C7" s="14" t="str">
        <x:v>INV-F-41003</x:v>
      </x:c>
      <x:c r="D7" s="17" t="n">
        <x:v>46147</x:v>
      </x:c>
      <x:c r="E7" s="14" t="str">
        <x:v>华航票务</x:v>
      </x:c>
      <x:c r="F7" s="20" t="n">
        <x:v>1680</x:v>
      </x:c>
      <x:c r="G7" s="28" t="b">
        <x:v>1</x:v>
      </x:c>
      <x:c r="H7" s="14" t="str">
        <x:v>receipt_BX-41003.pdf</x:v>
      </x:c>
      <x:c r="I7" s="14" t="str">
        <x:v>无</x:v>
      </x:c>
      <x:c r="J7" s="14" t="str"/>
    </x:row>
    <x:row r="8">
      <x:c r="A8" s="14" t="str">
        <x:v>IR-004</x:v>
      </x:c>
      <x:c r="B8" s="14" t="str">
        <x:v>BX-41004</x:v>
      </x:c>
      <x:c r="C8" s="14" t="str">
        <x:v>INV-M-41004</x:v>
      </x:c>
      <x:c r="D8" s="17" t="n">
        <x:v>46149</x:v>
      </x:c>
      <x:c r="E8" s="14" t="str">
        <x:v>杭州湖滨小馆</x:v>
      </x:c>
      <x:c r="F8" s="20" t="n">
        <x:v>420</x:v>
      </x:c>
      <x:c r="G8" s="28" t="b">
        <x:v>1</x:v>
      </x:c>
      <x:c r="H8" s="14" t="str">
        <x:v>receipt_BX-41004.pdf</x:v>
      </x:c>
      <x:c r="I8" s="14" t="str">
        <x:v>无</x:v>
      </x:c>
      <x:c r="J8" s="14" t="str"/>
    </x:row>
    <x:row r="9">
      <x:c r="A9" s="14" t="str">
        <x:v>IR-005</x:v>
      </x:c>
      <x:c r="B9" s="14" t="str">
        <x:v>BX-41005</x:v>
      </x:c>
      <x:c r="C9" s="14" t="str">
        <x:v>INV-T-41005</x:v>
      </x:c>
      <x:c r="D9" s="17" t="n">
        <x:v>46150</x:v>
      </x:c>
      <x:c r="E9" s="14" t="str">
        <x:v>上海城市出行</x:v>
      </x:c>
      <x:c r="F9" s="20" t="n">
        <x:v>86</x:v>
      </x:c>
      <x:c r="G9" s="28" t="b">
        <x:v>1</x:v>
      </x:c>
      <x:c r="H9" s="14" t="str">
        <x:v>receipt_BX-41005.pdf</x:v>
      </x:c>
      <x:c r="I9" s="14" t="str">
        <x:v>无</x:v>
      </x:c>
      <x:c r="J9" s="14" t="str"/>
    </x:row>
    <x:row r="10">
      <x:c r="A10" s="14" t="str">
        <x:v>IR-006</x:v>
      </x:c>
      <x:c r="B10" s="14" t="str">
        <x:v>BX-41120</x:v>
      </x:c>
      <x:c r="C10" s="14" t="str">
        <x:v>INV-R-41120</x:v>
      </x:c>
      <x:c r="D10" s="17" t="n">
        <x:v>46152</x:v>
      </x:c>
      <x:c r="E10" s="14" t="str">
        <x:v>铁路客运</x:v>
      </x:c>
      <x:c r="F10" s="20" t="n">
        <x:v>553</x:v>
      </x:c>
      <x:c r="G10" s="28" t="b">
        <x:v>1</x:v>
      </x:c>
      <x:c r="H10" s="14" t="str">
        <x:v>receipt_BX-41120.pdf</x:v>
      </x:c>
      <x:c r="I10" s="14" t="str">
        <x:v>无</x:v>
      </x:c>
      <x:c r="J10" s="14" t="str"/>
    </x:row>
    <x:row r="11">
      <x:c r="A11" s="14" t="str">
        <x:v>IR-007</x:v>
      </x:c>
      <x:c r="B11" s="14" t="str">
        <x:v>BX-41208</x:v>
      </x:c>
      <x:c r="C11" s="14" t="str">
        <x:v>INV-H-41208</x:v>
      </x:c>
      <x:c r="D11" s="17" t="n">
        <x:v>46153</x:v>
      </x:c>
      <x:c r="E11" s="14" t="str">
        <x:v>成都高新酒店</x:v>
      </x:c>
      <x:c r="F11" s="20" t="n">
        <x:v>540</x:v>
      </x:c>
      <x:c r="G11" s="28" t="b">
        <x:v>1</x:v>
      </x:c>
      <x:c r="H11" s="14" t="str">
        <x:v>receipt_BX-41208.pdf</x:v>
      </x:c>
      <x:c r="I11" s="14" t="str">
        <x:v>无</x:v>
      </x:c>
      <x:c r="J11" s="14" t="str"/>
    </x:row>
    <x:row r="12">
      <x:c r="A12" s="14" t="str">
        <x:v>IR-008</x:v>
      </x:c>
      <x:c r="B12" s="14" t="str">
        <x:v>BX-41315</x:v>
      </x:c>
      <x:c r="C12" s="14" t="str">
        <x:v>INV-M-41315</x:v>
      </x:c>
      <x:c r="D12" s="17" t="n">
        <x:v>46154</x:v>
      </x:c>
      <x:c r="E12" s="14" t="str">
        <x:v>南京金陵餐厅</x:v>
      </x:c>
      <x:c r="F12" s="20" t="n">
        <x:v>680</x:v>
      </x:c>
      <x:c r="G12" s="28" t="b">
        <x:v>1</x:v>
      </x:c>
      <x:c r="H12" s="14" t="str">
        <x:v>receipt_BX-41315.pdf</x:v>
      </x:c>
      <x:c r="I12" s="14" t="str">
        <x:v>无</x:v>
      </x:c>
      <x:c r="J12" s="14" t="str"/>
    </x:row>
    <x:row r="13">
      <x:c r="A13" s="14" t="str">
        <x:v>IR-009</x:v>
      </x:c>
      <x:c r="B13" s="14" t="str">
        <x:v>BX-41403</x:v>
      </x:c>
      <x:c r="C13" s="14" t="str">
        <x:v>INV-O-41403</x:v>
      </x:c>
      <x:c r="D13" s="17" t="n">
        <x:v>46155</x:v>
      </x:c>
      <x:c r="E13" s="14" t="str">
        <x:v>宁苏办公用品</x:v>
      </x:c>
      <x:c r="F13" s="20" t="n">
        <x:v>320</x:v>
      </x:c>
      <x:c r="G13" s="28" t="b">
        <x:v>1</x:v>
      </x:c>
      <x:c r="H13" s="14" t="str">
        <x:v>receipt_BX-41403.pdf</x:v>
      </x:c>
      <x:c r="I13" s="14" t="str">
        <x:v>无</x:v>
      </x:c>
      <x:c r="J13" s="14" t="str"/>
    </x:row>
    <x:row r="14">
      <x:c r="A14" s="14" t="str">
        <x:v>IR-010</x:v>
      </x:c>
      <x:c r="B14" s="14" t="str">
        <x:v>BX-41509</x:v>
      </x:c>
      <x:c r="C14" s="14" t="str">
        <x:v>INV-T-41509</x:v>
      </x:c>
      <x:c r="D14" s="17" t="n">
        <x:v>46157</x:v>
      </x:c>
      <x:c r="E14" s="14" t="str">
        <x:v>深圳城市出行</x:v>
      </x:c>
      <x:c r="F14" s="20" t="n">
        <x:v>142</x:v>
      </x:c>
      <x:c r="G14" s="28" t="b">
        <x:v>1</x:v>
      </x:c>
      <x:c r="H14" s="14" t="str">
        <x:v>receipt_BX-41509.pdf</x:v>
      </x:c>
      <x:c r="I14" s="14" t="str">
        <x:v>无</x:v>
      </x:c>
      <x:c r="J14" s="14" t="str"/>
    </x:row>
    <x:row r="15">
      <x:c r="A15" s="14" t="str">
        <x:v>IR-011</x:v>
      </x:c>
      <x:c r="B15" s="14" t="str">
        <x:v>BX-41610</x:v>
      </x:c>
      <x:c r="C15" s="14" t="str">
        <x:v>INV-O-77821</x:v>
      </x:c>
      <x:c r="D15" s="17" t="n">
        <x:v>46158</x:v>
      </x:c>
      <x:c r="E15" s="14" t="str">
        <x:v>北京星辉办公</x:v>
      </x:c>
      <x:c r="F15" s="20" t="n">
        <x:v>1280</x:v>
      </x:c>
      <x:c r="G15" s="28" t="b">
        <x:v>1</x:v>
      </x:c>
      <x:c r="H15" s="14" t="str">
        <x:v>scan_41610.pdf</x:v>
      </x:c>
      <x:c r="I15" s="14" t="str">
        <x:v>本公司跨报销单</x:v>
      </x:c>
      <x:c r="J15" s="14" t="str">
        <x:v>BX-41902</x:v>
      </x:c>
    </x:row>
    <x:row r="16">
      <x:c r="A16" s="14" t="str">
        <x:v>IR-012</x:v>
      </x:c>
      <x:c r="B16" s="14" t="str">
        <x:v>BX-41704</x:v>
      </x:c>
      <x:c r="C16" s="14" t="str">
        <x:v>INV-H-41704</x:v>
      </x:c>
      <x:c r="D16" s="17" t="n">
        <x:v>46159</x:v>
      </x:c>
      <x:c r="E16" s="14" t="str">
        <x:v>杭州西湖商务酒店</x:v>
      </x:c>
      <x:c r="F16" s="20" t="n">
        <x:v>590</x:v>
      </x:c>
      <x:c r="G16" s="28" t="b">
        <x:v>1</x:v>
      </x:c>
      <x:c r="H16" s="14" t="str">
        <x:v>receipt_BX-41704.pdf</x:v>
      </x:c>
      <x:c r="I16" s="14" t="str">
        <x:v>无</x:v>
      </x:c>
      <x:c r="J16" s="14" t="str"/>
    </x:row>
    <x:row r="17">
      <x:c r="A17" s="14" t="str">
        <x:v>IR-013</x:v>
      </x:c>
      <x:c r="B17" s="14" t="str">
        <x:v>BX-41735</x:v>
      </x:c>
      <x:c r="C17" s="14" t="str">
        <x:v>INV-R-41735</x:v>
      </x:c>
      <x:c r="D17" s="17" t="n">
        <x:v>46159</x:v>
      </x:c>
      <x:c r="E17" s="14" t="str">
        <x:v>铁路客运</x:v>
      </x:c>
      <x:c r="F17" s="20" t="n">
        <x:v>728</x:v>
      </x:c>
      <x:c r="G17" s="28" t="b">
        <x:v>1</x:v>
      </x:c>
      <x:c r="H17" s="14" t="str">
        <x:v>receipt_BX-41735.pdf</x:v>
      </x:c>
      <x:c r="I17" s="14" t="str">
        <x:v>无</x:v>
      </x:c>
      <x:c r="J17" s="14" t="str"/>
    </x:row>
    <x:row r="18">
      <x:c r="A18" s="14" t="str">
        <x:v>IR-014</x:v>
      </x:c>
      <x:c r="B18" s="14" t="str">
        <x:v>BX-42017</x:v>
      </x:c>
      <x:c r="C18" s="14" t="str">
        <x:v>INV-T-42017</x:v>
      </x:c>
      <x:c r="D18" s="17" t="n">
        <x:v>46160</x:v>
      </x:c>
      <x:c r="E18" s="14" t="str">
        <x:v>长三角商务出行</x:v>
      </x:c>
      <x:c r="F18" s="20" t="n">
        <x:v>468</x:v>
      </x:c>
      <x:c r="G18" s="28" t="b">
        <x:v>1</x:v>
      </x:c>
      <x:c r="H18" s="14" t="str">
        <x:v>receipt_BX-42017.pdf</x:v>
      </x:c>
      <x:c r="I18" s="14" t="str">
        <x:v>第三方发票平台</x:v>
      </x:c>
      <x:c r="J18" s="14" t="str">
        <x:v>EXT-COMPANY-7781</x:v>
      </x:c>
    </x:row>
    <x:row r="19">
      <x:c r="A19" s="14" t="str">
        <x:v>IR-015</x:v>
      </x:c>
      <x:c r="B19" s="14" t="str">
        <x:v>BX-41881</x:v>
      </x:c>
      <x:c r="C19" s="14" t="str">
        <x:v>INV-S-41881</x:v>
      </x:c>
      <x:c r="D19" s="17" t="n">
        <x:v>46163</x:v>
      </x:c>
      <x:c r="E19" s="14" t="str">
        <x:v>苏州启航资料服务中心</x:v>
      </x:c>
      <x:c r="F19" s="20" t="n">
        <x:v>1960</x:v>
      </x:c>
      <x:c r="G19" s="28" t="b">
        <x:v>1</x:v>
      </x:c>
      <x:c r="H19" s="14" t="str">
        <x:v>receipt_BX-41881.pdf</x:v>
      </x:c>
      <x:c r="I19" s="14" t="str">
        <x:v>无</x:v>
      </x:c>
      <x:c r="J19" s="14" t="str"/>
    </x:row>
    <x:row r="20">
      <x:c r="A20" s="14" t="str">
        <x:v>IR-016</x:v>
      </x:c>
      <x:c r="B20" s="14" t="str">
        <x:v>BX-41882</x:v>
      </x:c>
      <x:c r="C20" s="14" t="str">
        <x:v>INV-S-41882</x:v>
      </x:c>
      <x:c r="D20" s="17" t="n">
        <x:v>46163</x:v>
      </x:c>
      <x:c r="E20" s="14" t="str">
        <x:v>苏州启航资料服务中心</x:v>
      </x:c>
      <x:c r="F20" s="20" t="n">
        <x:v>1980</x:v>
      </x:c>
      <x:c r="G20" s="28" t="b">
        <x:v>1</x:v>
      </x:c>
      <x:c r="H20" s="14" t="str">
        <x:v>receipt_BX-41882.pdf</x:v>
      </x:c>
      <x:c r="I20" s="14" t="str">
        <x:v>无</x:v>
      </x:c>
      <x:c r="J20" s="14" t="str"/>
    </x:row>
    <x:row r="21">
      <x:c r="A21" s="14" t="str">
        <x:v>IR-017</x:v>
      </x:c>
      <x:c r="B21" s="14" t="str">
        <x:v>BX-41883</x:v>
      </x:c>
      <x:c r="C21" s="14" t="str">
        <x:v>INV-S-41883</x:v>
      </x:c>
      <x:c r="D21" s="17" t="n">
        <x:v>46164</x:v>
      </x:c>
      <x:c r="E21" s="14" t="str">
        <x:v>苏州启航资料服务中心</x:v>
      </x:c>
      <x:c r="F21" s="20" t="n">
        <x:v>1950</x:v>
      </x:c>
      <x:c r="G21" s="28" t="b">
        <x:v>1</x:v>
      </x:c>
      <x:c r="H21" s="14" t="str">
        <x:v>receipt_BX-41883.pdf</x:v>
      </x:c>
      <x:c r="I21" s="14" t="str">
        <x:v>无</x:v>
      </x:c>
      <x:c r="J21" s="14" t="str"/>
    </x:row>
    <x:row r="22">
      <x:c r="A22" s="14" t="str">
        <x:v>IR-018</x:v>
      </x:c>
      <x:c r="B22" s="14" t="str">
        <x:v>BX-41884</x:v>
      </x:c>
      <x:c r="C22" s="14" t="str">
        <x:v>INV-S-41884</x:v>
      </x:c>
      <x:c r="D22" s="17" t="n">
        <x:v>46164</x:v>
      </x:c>
      <x:c r="E22" s="14" t="str">
        <x:v>苏州启航资料服务中心</x:v>
      </x:c>
      <x:c r="F22" s="20" t="n">
        <x:v>1990</x:v>
      </x:c>
      <x:c r="G22" s="28" t="b">
        <x:v>1</x:v>
      </x:c>
      <x:c r="H22" s="14" t="str">
        <x:v>receipt_BX-41884.pdf</x:v>
      </x:c>
      <x:c r="I22" s="14" t="str">
        <x:v>无</x:v>
      </x:c>
      <x:c r="J22" s="14" t="str"/>
    </x:row>
    <x:row r="23">
      <x:c r="A23" s="14" t="str">
        <x:v>IR-019</x:v>
      </x:c>
      <x:c r="B23" s="14" t="str">
        <x:v>BX-41902</x:v>
      </x:c>
      <x:c r="C23" s="14" t="str">
        <x:v>INV-O-77821</x:v>
      </x:c>
      <x:c r="D23" s="17" t="n">
        <x:v>46164</x:v>
      </x:c>
      <x:c r="E23" s="14" t="str">
        <x:v>北京星辉办公</x:v>
      </x:c>
      <x:c r="F23" s="20" t="n">
        <x:v>1280</x:v>
      </x:c>
      <x:c r="G23" s="28" t="b">
        <x:v>1</x:v>
      </x:c>
      <x:c r="H23" s="14" t="str">
        <x:v>office_may_copy.pdf</x:v>
      </x:c>
      <x:c r="I23" s="14" t="str">
        <x:v>本公司跨报销单</x:v>
      </x:c>
      <x:c r="J23" s="14" t="str">
        <x:v>BX-41610</x:v>
      </x:c>
    </x:row>
    <x:row r="24">
      <x:c r="A24" s="14" t="str">
        <x:v>IR-020</x:v>
      </x:c>
      <x:c r="B24" s="14" t="str">
        <x:v>BX-42110</x:v>
      </x:c>
      <x:c r="C24" s="14" t="str">
        <x:v>INV-M-42110</x:v>
      </x:c>
      <x:c r="D24" s="17" t="n">
        <x:v>46164</x:v>
      </x:c>
      <x:c r="E24" s="14" t="str">
        <x:v>南京中央路餐厅</x:v>
      </x:c>
      <x:c r="F24" s="20" t="n">
        <x:v>360</x:v>
      </x:c>
      <x:c r="G24" s="28" t="b">
        <x:v>1</x:v>
      </x:c>
      <x:c r="H24" s="14" t="str">
        <x:v>receipt_BX-42110.pdf</x:v>
      </x:c>
      <x:c r="I24" s="14" t="str">
        <x:v>无</x:v>
      </x:c>
      <x:c r="J24" s="14" t="str"/>
    </x:row>
    <x:row r="25">
      <x:c r="A25" s="14" t="str">
        <x:v>IR-021</x:v>
      </x:c>
      <x:c r="B25" s="14" t="str">
        <x:v>BX-42306</x:v>
      </x:c>
      <x:c r="C25" s="14" t="str">
        <x:v>INV-T-42306</x:v>
      </x:c>
      <x:c r="D25" s="17" t="n">
        <x:v>46165</x:v>
      </x:c>
      <x:c r="E25" s="14" t="str">
        <x:v>成都快行出租</x:v>
      </x:c>
      <x:c r="F25" s="20" t="n">
        <x:v>86</x:v>
      </x:c>
      <x:c r="G25" s="28" t="b">
        <x:v>1</x:v>
      </x:c>
      <x:c r="H25" s="14" t="str">
        <x:v>receipt_BX-42306.png</x:v>
      </x:c>
      <x:c r="I25" s="14" t="str">
        <x:v>无</x:v>
      </x:c>
      <x:c r="J25" s="14" t="str"/>
    </x:row>
    <x:row r="26">
      <x:c r="A26" s="14" t="str">
        <x:v>IR-022</x:v>
      </x:c>
      <x:c r="B26" s="14" t="str">
        <x:v>BX-42401</x:v>
      </x:c>
      <x:c r="C26" s="14" t="str">
        <x:v>INV-F-42401</x:v>
      </x:c>
      <x:c r="D26" s="17" t="n">
        <x:v>46165</x:v>
      </x:c>
      <x:c r="E26" s="14" t="str">
        <x:v>华航票务</x:v>
      </x:c>
      <x:c r="F26" s="20" t="n">
        <x:v>2200</x:v>
      </x:c>
      <x:c r="G26" s="28" t="b">
        <x:v>1</x:v>
      </x:c>
      <x:c r="H26" s="14" t="str">
        <x:v>receipt_BX-42401.pdf</x:v>
      </x:c>
      <x:c r="I26" s="14" t="str">
        <x:v>无</x:v>
      </x:c>
      <x:c r="J26" s="14" t="str"/>
    </x:row>
    <x:row r="27">
      <x:c r="A27" s="14" t="str">
        <x:v>IR-023</x:v>
      </x:c>
      <x:c r="B27" s="14" t="str">
        <x:v>BX-42519</x:v>
      </x:c>
      <x:c r="C27" s="14" t="str">
        <x:v>INV-M-42519</x:v>
      </x:c>
      <x:c r="D27" s="17" t="n">
        <x:v>46166</x:v>
      </x:c>
      <x:c r="E27" s="14" t="str">
        <x:v>上海欢乐时光餐厅</x:v>
      </x:c>
      <x:c r="F27" s="20" t="n">
        <x:v>988</x:v>
      </x:c>
      <x:c r="G27" s="28" t="b">
        <x:v>1</x:v>
      </x:c>
      <x:c r="H27" s="14" t="str">
        <x:v>receipt_BX-42519.pdf</x:v>
      </x:c>
      <x:c r="I27" s="14" t="str">
        <x:v>无</x:v>
      </x:c>
      <x:c r="J27" s="14" t="str"/>
    </x:row>
    <x:row r="28">
      <x:c r="A28" s="14" t="str">
        <x:v>IR-024</x:v>
      </x:c>
      <x:c r="B28" s="14" t="str">
        <x:v>BX-42611</x:v>
      </x:c>
      <x:c r="C28" s="14" t="str">
        <x:v>INV-H-42611</x:v>
      </x:c>
      <x:c r="D28" s="17" t="n">
        <x:v>46167</x:v>
      </x:c>
      <x:c r="E28" s="14" t="str">
        <x:v>苏州工业园酒店</x:v>
      </x:c>
      <x:c r="F28" s="20" t="n">
        <x:v>560</x:v>
      </x:c>
      <x:c r="G28" s="28" t="b">
        <x:v>1</x:v>
      </x:c>
      <x:c r="H28" s="14" t="str">
        <x:v>receipt_BX-42611.pdf</x:v>
      </x:c>
      <x:c r="I28" s="14" t="str">
        <x:v>无</x:v>
      </x:c>
      <x:c r="J28" s="14" t="str"/>
    </x:row>
    <x:row r="29">
      <x:c r="A29" s="14" t="str">
        <x:v>IR-025</x:v>
      </x:c>
      <x:c r="B29" s="14" t="str">
        <x:v>BX-42702</x:v>
      </x:c>
      <x:c r="C29" s="14" t="str">
        <x:v>INV-F-42702</x:v>
      </x:c>
      <x:c r="D29" s="17" t="n">
        <x:v>46169</x:v>
      </x:c>
      <x:c r="E29" s="14" t="str">
        <x:v>华航票务</x:v>
      </x:c>
      <x:c r="F29" s="20" t="n">
        <x:v>5480</x:v>
      </x:c>
      <x:c r="G29" s="28" t="b">
        <x:v>1</x:v>
      </x:c>
      <x:c r="H29" s="14" t="str">
        <x:v>receipt_BX-42702.pdf</x:v>
      </x:c>
      <x:c r="I29" s="14" t="str">
        <x:v>无</x:v>
      </x:c>
      <x:c r="J29" s="14" t="str"/>
    </x:row>
    <x:row r="30">
      <x:c r="A30" s="15" t="str">
        <x:v>IR-026</x:v>
      </x:c>
      <x:c r="B30" s="15" t="str">
        <x:v>BX-42820</x:v>
      </x:c>
      <x:c r="C30" s="15" t="str">
        <x:v>INV-T-42820</x:v>
      </x:c>
      <x:c r="D30" s="18" t="n">
        <x:v>46170</x:v>
      </x:c>
      <x:c r="E30" s="15" t="str">
        <x:v>南京城市出行</x:v>
      </x:c>
      <x:c r="F30" s="21" t="n">
        <x:v>118</x:v>
      </x:c>
      <x:c r="G30" s="29" t="b">
        <x:v>1</x:v>
      </x:c>
      <x:c r="H30" s="15" t="str">
        <x:v>receipt_BX-42820.pdf</x:v>
      </x:c>
      <x:c r="I30" s="15" t="str">
        <x:v>无</x:v>
      </x:c>
      <x:c r="J30" s="15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0c7db06789543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7" hidden="0" customWidth="1"/>
    <x:col min="4" max="4" width="19" hidden="0" customWidth="1"/>
    <x:col min="5" max="5" width="15" hidden="0" customWidth="1"/>
    <x:col min="6" max="6" width="17" hidden="0" customWidth="1"/>
    <x:col min="7" max="7" width="14" hidden="0" customWidth="1"/>
    <x:col min="8" max="8" width="21" hidden="0" customWidth="1"/>
    <x:col min="9" max="9" width="25" hidden="0" customWidth="1"/>
  </x:cols>
  <x:sheetData>
    <x:row r="1" ht="30" customHeight="1">
      <x:c r="A1" s="2" t="str">
        <x:v>审批记录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5" t="str">
        <x:v>用approval_id关联报销，识别事前审批和有效例外。 所有数据均为教学用虚构内容。</x:v>
      </x:c>
      <x:c r="B2" s="5"/>
      <x:c r="C2" s="5"/>
      <x:c r="D2" s="5"/>
      <x:c r="E2" s="5"/>
      <x:c r="F2" s="5"/>
      <x:c r="G2" s="5"/>
      <x:c r="H2" s="5"/>
      <x:c r="I2" s="5"/>
    </x:row>
    <x:row r="4" ht="24" customHeight="1">
      <x:c r="A4" s="8" t="str">
        <x:v>approval_id</x:v>
      </x:c>
      <x:c r="B4" s="8" t="str">
        <x:v>claim_id</x:v>
      </x:c>
      <x:c r="C4" s="8" t="str">
        <x:v>approval_type</x:v>
      </x:c>
      <x:c r="D4" s="8" t="str">
        <x:v>approval_status</x:v>
      </x:c>
      <x:c r="E4" s="8" t="str">
        <x:v>approver_id</x:v>
      </x:c>
      <x:c r="F4" s="8" t="str">
        <x:v>approval_time</x:v>
      </x:c>
      <x:c r="G4" s="8" t="str">
        <x:v>approved_limit_cny</x:v>
      </x:c>
      <x:c r="H4" s="8" t="str">
        <x:v>special_exception</x:v>
      </x:c>
      <x:c r="I4" s="8" t="str">
        <x:v>exception_basis</x:v>
      </x:c>
    </x:row>
    <x:row r="5">
      <x:c r="A5" s="13" t="str">
        <x:v>AP-SPECIAL-017</x:v>
      </x:c>
      <x:c r="B5" s="13" t="str">
        <x:v>BX-41002</x:v>
      </x:c>
      <x:c r="C5" s="13" t="str">
        <x:v>会展期住宿例外</x:v>
      </x:c>
      <x:c r="D5" s="13" t="str">
        <x:v>已批准</x:v>
      </x:c>
      <x:c r="E5" s="13" t="str">
        <x:v>M9003</x:v>
      </x:c>
      <x:c r="F5" s="30" t="n">
        <x:v>46150.430555555555</x:v>
      </x:c>
      <x:c r="G5" s="19" t="n">
        <x:v>800</x:v>
      </x:c>
      <x:c r="H5" s="27" t="b">
        <x:v>1</x:v>
      </x:c>
      <x:c r="I5" s="13" t="str">
        <x:v>POLICY-NOTICE-2026-05</x:v>
      </x:c>
    </x:row>
    <x:row r="6">
      <x:c r="A6" s="14" t="str">
        <x:v>AP-41003</x:v>
      </x:c>
      <x:c r="B6" s="14" t="str">
        <x:v>BX-41003</x:v>
      </x:c>
      <x:c r="C6" s="14" t="str">
        <x:v>差旅申请</x:v>
      </x:c>
      <x:c r="D6" s="14" t="str">
        <x:v>已批准</x:v>
      </x:c>
      <x:c r="E6" s="14" t="str">
        <x:v>M9002</x:v>
      </x:c>
      <x:c r="F6" s="31" t="n">
        <x:v>46143.381944444445</x:v>
      </x:c>
      <x:c r="G6" s="20" t="n">
        <x:v>2500</x:v>
      </x:c>
      <x:c r="H6" s="28" t="b">
        <x:v>0</x:v>
      </x:c>
      <x:c r="I6" s="14" t="str">
        <x:v>POLICY-TRAVEL-2026</x:v>
      </x:c>
    </x:row>
    <x:row r="7">
      <x:c r="A7" s="14" t="str">
        <x:v>AP-41315</x:v>
      </x:c>
      <x:c r="B7" s="14" t="str">
        <x:v>BX-41315</x:v>
      </x:c>
      <x:c r="C7" s="14" t="str">
        <x:v>客户招待</x:v>
      </x:c>
      <x:c r="D7" s="14" t="str">
        <x:v>已批准</x:v>
      </x:c>
      <x:c r="E7" s="14" t="str">
        <x:v>M9004</x:v>
      </x:c>
      <x:c r="F7" s="31" t="n">
        <x:v>46154.67361111111</x:v>
      </x:c>
      <x:c r="G7" s="20" t="n">
        <x:v>800</x:v>
      </x:c>
      <x:c r="H7" s="28" t="b">
        <x:v>0</x:v>
      </x:c>
      <x:c r="I7" s="14" t="str">
        <x:v>POLICY-EXPENSE-2026</x:v>
      </x:c>
    </x:row>
    <x:row r="8">
      <x:c r="A8" s="14" t="str">
        <x:v>AP-41610</x:v>
      </x:c>
      <x:c r="B8" s="14" t="str">
        <x:v>BX-41610</x:v>
      </x:c>
      <x:c r="C8" s="14" t="str">
        <x:v>采购审批</x:v>
      </x:c>
      <x:c r="D8" s="14" t="str">
        <x:v>已批准</x:v>
      </x:c>
      <x:c r="E8" s="14" t="str">
        <x:v>M9007</x:v>
      </x:c>
      <x:c r="F8" s="31" t="n">
        <x:v>46157.58472222222</x:v>
      </x:c>
      <x:c r="G8" s="20" t="n">
        <x:v>1500</x:v>
      </x:c>
      <x:c r="H8" s="28" t="b">
        <x:v>0</x:v>
      </x:c>
      <x:c r="I8" s="14" t="str">
        <x:v>POLICY-EXPENSE-2026</x:v>
      </x:c>
    </x:row>
    <x:row r="9">
      <x:c r="A9" s="14" t="str">
        <x:v>AP-41735</x:v>
      </x:c>
      <x:c r="B9" s="14" t="str">
        <x:v>BX-41735</x:v>
      </x:c>
      <x:c r="C9" s="14" t="str">
        <x:v>差旅申请</x:v>
      </x:c>
      <x:c r="D9" s="14" t="str">
        <x:v>已批准</x:v>
      </x:c>
      <x:c r="E9" s="14" t="str">
        <x:v>M9003</x:v>
      </x:c>
      <x:c r="F9" s="31" t="n">
        <x:v>46156.479166666664</x:v>
      </x:c>
      <x:c r="G9" s="20" t="n">
        <x:v>1000</x:v>
      </x:c>
      <x:c r="H9" s="28" t="b">
        <x:v>0</x:v>
      </x:c>
      <x:c r="I9" s="14" t="str">
        <x:v>POLICY-TRAVEL-2026</x:v>
      </x:c>
    </x:row>
    <x:row r="10">
      <x:c r="A10" s="14" t="str">
        <x:v>AP-41902</x:v>
      </x:c>
      <x:c r="B10" s="14" t="str">
        <x:v>BX-41902</x:v>
      </x:c>
      <x:c r="C10" s="14" t="str">
        <x:v>采购审批</x:v>
      </x:c>
      <x:c r="D10" s="14" t="str">
        <x:v>已批准</x:v>
      </x:c>
      <x:c r="E10" s="14" t="str">
        <x:v>M9006</x:v>
      </x:c>
      <x:c r="F10" s="31" t="n">
        <x:v>46163.697916666664</x:v>
      </x:c>
      <x:c r="G10" s="20" t="n">
        <x:v>1500</x:v>
      </x:c>
      <x:c r="H10" s="28" t="b">
        <x:v>0</x:v>
      </x:c>
      <x:c r="I10" s="14" t="str">
        <x:v>POLICY-EXPENSE-2026</x:v>
      </x:c>
    </x:row>
    <x:row r="11">
      <x:c r="A11" s="14" t="str">
        <x:v>AP-42017</x:v>
      </x:c>
      <x:c r="B11" s="14" t="str">
        <x:v>BX-42017</x:v>
      </x:c>
      <x:c r="C11" s="14" t="str">
        <x:v>差旅申请</x:v>
      </x:c>
      <x:c r="D11" s="14" t="str">
        <x:v>已批准</x:v>
      </x:c>
      <x:c r="E11" s="14" t="str">
        <x:v>M9004</x:v>
      </x:c>
      <x:c r="F11" s="31" t="n">
        <x:v>46158.645833333336</x:v>
      </x:c>
      <x:c r="G11" s="20" t="n">
        <x:v>600</x:v>
      </x:c>
      <x:c r="H11" s="28" t="b">
        <x:v>0</x:v>
      </x:c>
      <x:c r="I11" s="14" t="str">
        <x:v>POLICY-TRAVEL-2026</x:v>
      </x:c>
    </x:row>
    <x:row r="12">
      <x:c r="A12" s="14" t="str">
        <x:v>AP-42401</x:v>
      </x:c>
      <x:c r="B12" s="14" t="str">
        <x:v>BX-42401</x:v>
      </x:c>
      <x:c r="C12" s="14" t="str">
        <x:v>紧急差旅</x:v>
      </x:c>
      <x:c r="D12" s="14" t="str">
        <x:v>已批准</x:v>
      </x:c>
      <x:c r="E12" s="14" t="str">
        <x:v>M9002</x:v>
      </x:c>
      <x:c r="F12" s="31" t="n">
        <x:v>46164.36111111111</x:v>
      </x:c>
      <x:c r="G12" s="20" t="n">
        <x:v>3000</x:v>
      </x:c>
      <x:c r="H12" s="28" t="b">
        <x:v>1</x:v>
      </x:c>
      <x:c r="I12" s="14" t="str">
        <x:v>PROJECT-URGENT-24</x:v>
      </x:c>
    </x:row>
    <x:row r="13">
      <x:c r="A13" s="14" t="str">
        <x:v>AP-42519</x:v>
      </x:c>
      <x:c r="B13" s="14" t="str">
        <x:v>BX-42519</x:v>
      </x:c>
      <x:c r="C13" s="14" t="str">
        <x:v>客户招待</x:v>
      </x:c>
      <x:c r="D13" s="14" t="str">
        <x:v>已批准</x:v>
      </x:c>
      <x:c r="E13" s="14" t="str">
        <x:v>M9001</x:v>
      </x:c>
      <x:c r="F13" s="31" t="n">
        <x:v>46165.79861111111</x:v>
      </x:c>
      <x:c r="G13" s="20" t="n">
        <x:v>1200</x:v>
      </x:c>
      <x:c r="H13" s="28" t="b">
        <x:v>0</x:v>
      </x:c>
      <x:c r="I13" s="14" t="str">
        <x:v>POLICY-EXPENSE-2026</x:v>
      </x:c>
    </x:row>
    <x:row r="14">
      <x:c r="A14" s="15" t="str">
        <x:v>AP-42702</x:v>
      </x:c>
      <x:c r="B14" s="15" t="str">
        <x:v>BX-42702</x:v>
      </x:c>
      <x:c r="C14" s="15" t="str">
        <x:v>国际行程衔接</x:v>
      </x:c>
      <x:c r="D14" s="15" t="str">
        <x:v>已批准</x:v>
      </x:c>
      <x:c r="E14" s="15" t="str">
        <x:v>M9007</x:v>
      </x:c>
      <x:c r="F14" s="32" t="n">
        <x:v>46161.416666666664</x:v>
      </x:c>
      <x:c r="G14" s="21" t="n">
        <x:v>6000</x:v>
      </x:c>
      <x:c r="H14" s="29" t="b">
        <x:v>1</x:v>
      </x:c>
      <x:c r="I14" s="15" t="str">
        <x:v>TRIP-INTL-2027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29f19be130049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15" hidden="0" customWidth="1"/>
    <x:col min="4" max="4" width="17" hidden="0" customWidth="1"/>
    <x:col min="5" max="5" width="13" hidden="0" customWidth="1"/>
    <x:col min="6" max="6" width="15" hidden="0" customWidth="1"/>
    <x:col min="7" max="7" width="20" hidden="0" customWidth="1"/>
    <x:col min="8" max="8" width="21" hidden="0" customWidth="1"/>
    <x:col min="9" max="9" width="18" hidden="0" customWidth="1"/>
    <x:col min="10" max="10" width="18" hidden="0" customWidth="1"/>
  </x:cols>
  <x:sheetData>
    <x:row r="1" ht="30" customHeight="1">
      <x:c r="A1" s="2" t="str">
        <x:v>航班行程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5" t="str">
        <x:v>用trip_id和employee_id核对真实抵达城市。 所有数据均为教学用虚构内容。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4" customHeight="1">
      <x:c r="A4" s="8" t="str">
        <x:v>flight_record_id</x:v>
      </x:c>
      <x:c r="B4" s="8" t="str">
        <x:v>trip_id</x:v>
      </x:c>
      <x:c r="C4" s="8" t="str">
        <x:v>employee_id</x:v>
      </x:c>
      <x:c r="D4" s="8" t="str">
        <x:v>flight_date</x:v>
      </x:c>
      <x:c r="E4" s="8" t="str">
        <x:v>flight_no</x:v>
      </x:c>
      <x:c r="F4" s="8" t="str">
        <x:v>origin_city</x:v>
      </x:c>
      <x:c r="G4" s="8" t="str">
        <x:v>destination_city</x:v>
      </x:c>
      <x:c r="H4" s="8" t="str">
        <x:v>scheduled_arrival</x:v>
      </x:c>
      <x:c r="I4" s="8" t="str">
        <x:v>actual_arrival</x:v>
      </x:c>
      <x:c r="J4" s="8" t="str">
        <x:v>booking_status</x:v>
      </x:c>
    </x:row>
    <x:row r="5">
      <x:c r="A5" s="13" t="str">
        <x:v>FR-1002</x:v>
      </x:c>
      <x:c r="B5" s="13" t="str">
        <x:v>T1002</x:v>
      </x:c>
      <x:c r="C5" s="13" t="str">
        <x:v>E1003</x:v>
      </x:c>
      <x:c r="D5" s="16" t="n">
        <x:v>46155</x:v>
      </x:c>
      <x:c r="E5" s="13" t="str">
        <x:v>CA1835</x:v>
      </x:c>
      <x:c r="F5" s="13" t="str">
        <x:v>北京</x:v>
      </x:c>
      <x:c r="G5" s="13" t="str">
        <x:v>上海</x:v>
      </x:c>
      <x:c r="H5" s="13" t="str">
        <x:v>18:10</x:v>
      </x:c>
      <x:c r="I5" s="13" t="str">
        <x:v>18:28</x:v>
      </x:c>
      <x:c r="J5" s="13" t="str">
        <x:v>已成行</x:v>
      </x:c>
    </x:row>
    <x:row r="6">
      <x:c r="A6" s="14" t="str">
        <x:v>FR-1003</x:v>
      </x:c>
      <x:c r="B6" s="14" t="str">
        <x:v>T1003</x:v>
      </x:c>
      <x:c r="C6" s="14" t="str">
        <x:v>E1006</x:v>
      </x:c>
      <x:c r="D6" s="17" t="n">
        <x:v>46147</x:v>
      </x:c>
      <x:c r="E6" s="14" t="str">
        <x:v>ZH9102</x:v>
      </x:c>
      <x:c r="F6" s="14" t="str">
        <x:v>北京</x:v>
      </x:c>
      <x:c r="G6" s="14" t="str">
        <x:v>深圳</x:v>
      </x:c>
      <x:c r="H6" s="14" t="str">
        <x:v>11:20</x:v>
      </x:c>
      <x:c r="I6" s="14" t="str">
        <x:v>11:16</x:v>
      </x:c>
      <x:c r="J6" s="14" t="str">
        <x:v>已成行</x:v>
      </x:c>
    </x:row>
    <x:row r="7">
      <x:c r="A7" s="14" t="str">
        <x:v>FR-1008</x:v>
      </x:c>
      <x:c r="B7" s="14" t="str">
        <x:v>T1008</x:v>
      </x:c>
      <x:c r="C7" s="14" t="str">
        <x:v>E1004</x:v>
      </x:c>
      <x:c r="D7" s="17" t="n">
        <x:v>46154</x:v>
      </x:c>
      <x:c r="E7" s="14" t="str">
        <x:v>MU2816</x:v>
      </x:c>
      <x:c r="F7" s="14" t="str">
        <x:v>北京</x:v>
      </x:c>
      <x:c r="G7" s="14" t="str">
        <x:v>南京</x:v>
      </x:c>
      <x:c r="H7" s="14" t="str">
        <x:v>10:35</x:v>
      </x:c>
      <x:c r="I7" s="14" t="str">
        <x:v>10:42</x:v>
      </x:c>
      <x:c r="J7" s="14" t="str">
        <x:v>已成行</x:v>
      </x:c>
    </x:row>
    <x:row r="8">
      <x:c r="A8" s="14" t="str">
        <x:v>FR-2017</x:v>
      </x:c>
      <x:c r="B8" s="14" t="str">
        <x:v>T2017</x:v>
      </x:c>
      <x:c r="C8" s="14" t="str">
        <x:v>E1004</x:v>
      </x:c>
      <x:c r="D8" s="17" t="n">
        <x:v>46160</x:v>
      </x:c>
      <x:c r="E8" s="14" t="str">
        <x:v>MU2820</x:v>
      </x:c>
      <x:c r="F8" s="14" t="str">
        <x:v>北京</x:v>
      </x:c>
      <x:c r="G8" s="14" t="str">
        <x:v>南京</x:v>
      </x:c>
      <x:c r="H8" s="14" t="str">
        <x:v>09:45</x:v>
      </x:c>
      <x:c r="I8" s="14" t="str">
        <x:v>09:51</x:v>
      </x:c>
      <x:c r="J8" s="14" t="str">
        <x:v>已成行</x:v>
      </x:c>
    </x:row>
    <x:row r="9">
      <x:c r="A9" s="14" t="str">
        <x:v>FR-2024</x:v>
      </x:c>
      <x:c r="B9" s="14" t="str">
        <x:v>T2024</x:v>
      </x:c>
      <x:c r="C9" s="14" t="str">
        <x:v>E1006</x:v>
      </x:c>
      <x:c r="D9" s="17" t="n">
        <x:v>46165</x:v>
      </x:c>
      <x:c r="E9" s="14" t="str">
        <x:v>CZ3108</x:v>
      </x:c>
      <x:c r="F9" s="14" t="str">
        <x:v>北京</x:v>
      </x:c>
      <x:c r="G9" s="14" t="str">
        <x:v>广州</x:v>
      </x:c>
      <x:c r="H9" s="14" t="str">
        <x:v>13:20</x:v>
      </x:c>
      <x:c r="I9" s="14" t="str">
        <x:v>13:47</x:v>
      </x:c>
      <x:c r="J9" s="14" t="str">
        <x:v>已成行</x:v>
      </x:c>
    </x:row>
    <x:row r="10">
      <x:c r="A10" s="15" t="str">
        <x:v>FR-2027</x:v>
      </x:c>
      <x:c r="B10" s="15" t="str">
        <x:v>T2027</x:v>
      </x:c>
      <x:c r="C10" s="15" t="str">
        <x:v>E1008</x:v>
      </x:c>
      <x:c r="D10" s="18" t="n">
        <x:v>46169</x:v>
      </x:c>
      <x:c r="E10" s="15" t="str">
        <x:v>CA932</x:v>
      </x:c>
      <x:c r="F10" s="15" t="str">
        <x:v>法兰克福</x:v>
      </x:c>
      <x:c r="G10" s="15" t="str">
        <x:v>北京</x:v>
      </x:c>
      <x:c r="H10" s="15" t="str">
        <x:v>05:10</x:v>
      </x:c>
      <x:c r="I10" s="15" t="str">
        <x:v>05:34</x:v>
      </x:c>
      <x:c r="J10" s="15" t="str">
        <x:v>已成行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5347ed1de1e48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15" hidden="0" customWidth="1"/>
    <x:col min="4" max="4" width="14" hidden="0" customWidth="1"/>
    <x:col min="5" max="5" width="11" hidden="0" customWidth="1"/>
    <x:col min="6" max="6" width="17" hidden="0" customWidth="1"/>
    <x:col min="7" max="7" width="17" hidden="0" customWidth="1"/>
    <x:col min="8" max="8" width="20" hidden="0" customWidth="1"/>
    <x:col min="9" max="9" width="18" hidden="0" customWidth="1"/>
  </x:cols>
  <x:sheetData>
    <x:row r="1" ht="30" customHeight="1">
      <x:c r="A1" s="2" t="str">
        <x:v>酒店入住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5" t="str">
        <x:v>用trip_id核对员工所在城市和住宿金额。 所有数据均为教学用虚构内容。</x:v>
      </x:c>
      <x:c r="B2" s="5"/>
      <x:c r="C2" s="5"/>
      <x:c r="D2" s="5"/>
      <x:c r="E2" s="5"/>
      <x:c r="F2" s="5"/>
      <x:c r="G2" s="5"/>
      <x:c r="H2" s="5"/>
      <x:c r="I2" s="5"/>
    </x:row>
    <x:row r="4" ht="24" customHeight="1">
      <x:c r="A4" s="8" t="str">
        <x:v>hotel_record_id</x:v>
      </x:c>
      <x:c r="B4" s="8" t="str">
        <x:v>trip_id</x:v>
      </x:c>
      <x:c r="C4" s="8" t="str">
        <x:v>employee_id</x:v>
      </x:c>
      <x:c r="D4" s="8" t="str">
        <x:v>hotel_name</x:v>
      </x:c>
      <x:c r="E4" s="8" t="str">
        <x:v>city</x:v>
      </x:c>
      <x:c r="F4" s="8" t="str">
        <x:v>check_in_date</x:v>
      </x:c>
      <x:c r="G4" s="8" t="str">
        <x:v>check_out_date</x:v>
      </x:c>
      <x:c r="H4" s="8" t="str">
        <x:v>nightly_rate_cny</x:v>
      </x:c>
      <x:c r="I4" s="8" t="str">
        <x:v>booking_status</x:v>
      </x:c>
    </x:row>
    <x:row r="5">
      <x:c r="A5" s="13" t="str">
        <x:v>HR-1001</x:v>
      </x:c>
      <x:c r="B5" s="13" t="str">
        <x:v>T1001</x:v>
      </x:c>
      <x:c r="C5" s="13" t="str">
        <x:v>E1005</x:v>
      </x:c>
      <x:c r="D5" s="13" t="str">
        <x:v>南京中心酒店</x:v>
      </x:c>
      <x:c r="E5" s="13" t="str">
        <x:v>南京</x:v>
      </x:c>
      <x:c r="F5" s="16" t="n">
        <x:v>46144</x:v>
      </x:c>
      <x:c r="G5" s="16" t="n">
        <x:v>46145</x:v>
      </x:c>
      <x:c r="H5" s="13" t="n">
        <x:v>580</x:v>
      </x:c>
      <x:c r="I5" s="13" t="str">
        <x:v>已入住</x:v>
      </x:c>
    </x:row>
    <x:row r="6">
      <x:c r="A6" s="14" t="str">
        <x:v>HR-1002</x:v>
      </x:c>
      <x:c r="B6" s="14" t="str">
        <x:v>T1002</x:v>
      </x:c>
      <x:c r="C6" s="14" t="str">
        <x:v>E1003</x:v>
      </x:c>
      <x:c r="D6" s="14" t="str">
        <x:v>上海浦东会展酒店</x:v>
      </x:c>
      <x:c r="E6" s="14" t="str">
        <x:v>上海</x:v>
      </x:c>
      <x:c r="F6" s="17" t="n">
        <x:v>46155</x:v>
      </x:c>
      <x:c r="G6" s="17" t="n">
        <x:v>46156</x:v>
      </x:c>
      <x:c r="H6" s="14" t="n">
        <x:v>720</x:v>
      </x:c>
      <x:c r="I6" s="14" t="str">
        <x:v>已入住</x:v>
      </x:c>
    </x:row>
    <x:row r="7">
      <x:c r="A7" s="14" t="str">
        <x:v>HR-1003</x:v>
      </x:c>
      <x:c r="B7" s="14" t="str">
        <x:v>T1003</x:v>
      </x:c>
      <x:c r="C7" s="14" t="str">
        <x:v>E1006</x:v>
      </x:c>
      <x:c r="D7" s="14" t="str">
        <x:v>深圳科技园酒店</x:v>
      </x:c>
      <x:c r="E7" s="14" t="str">
        <x:v>深圳</x:v>
      </x:c>
      <x:c r="F7" s="17" t="n">
        <x:v>46147</x:v>
      </x:c>
      <x:c r="G7" s="17" t="n">
        <x:v>46149</x:v>
      </x:c>
      <x:c r="H7" s="14" t="n">
        <x:v>590</x:v>
      </x:c>
      <x:c r="I7" s="14" t="str">
        <x:v>已入住</x:v>
      </x:c>
    </x:row>
    <x:row r="8">
      <x:c r="A8" s="14" t="str">
        <x:v>HR-1008</x:v>
      </x:c>
      <x:c r="B8" s="14" t="str">
        <x:v>T1008</x:v>
      </x:c>
      <x:c r="C8" s="14" t="str">
        <x:v>E1004</x:v>
      </x:c>
      <x:c r="D8" s="14" t="str">
        <x:v>南京金陵酒店</x:v>
      </x:c>
      <x:c r="E8" s="14" t="str">
        <x:v>南京</x:v>
      </x:c>
      <x:c r="F8" s="17" t="n">
        <x:v>46154</x:v>
      </x:c>
      <x:c r="G8" s="17" t="n">
        <x:v>46155</x:v>
      </x:c>
      <x:c r="H8" s="14" t="n">
        <x:v>600</x:v>
      </x:c>
      <x:c r="I8" s="14" t="str">
        <x:v>已入住</x:v>
      </x:c>
    </x:row>
    <x:row r="9">
      <x:c r="A9" s="14" t="str">
        <x:v>HR-2017</x:v>
      </x:c>
      <x:c r="B9" s="14" t="str">
        <x:v>T2017</x:v>
      </x:c>
      <x:c r="C9" s="14" t="str">
        <x:v>E1004</x:v>
      </x:c>
      <x:c r="D9" s="14" t="str">
        <x:v>南京江宁商务酒店</x:v>
      </x:c>
      <x:c r="E9" s="14" t="str">
        <x:v>南京</x:v>
      </x:c>
      <x:c r="F9" s="17" t="n">
        <x:v>46160</x:v>
      </x:c>
      <x:c r="G9" s="17" t="n">
        <x:v>46161</x:v>
      </x:c>
      <x:c r="H9" s="14" t="n">
        <x:v>560</x:v>
      </x:c>
      <x:c r="I9" s="14" t="str">
        <x:v>已入住</x:v>
      </x:c>
    </x:row>
    <x:row r="10">
      <x:c r="A10" s="15" t="str">
        <x:v>HR-2026</x:v>
      </x:c>
      <x:c r="B10" s="15" t="str">
        <x:v>T2026</x:v>
      </x:c>
      <x:c r="C10" s="15" t="str">
        <x:v>E1003</x:v>
      </x:c>
      <x:c r="D10" s="15" t="str">
        <x:v>苏州工业园酒店</x:v>
      </x:c>
      <x:c r="E10" s="15" t="str">
        <x:v>苏州</x:v>
      </x:c>
      <x:c r="F10" s="18" t="n">
        <x:v>46166</x:v>
      </x:c>
      <x:c r="G10" s="18" t="n">
        <x:v>46167</x:v>
      </x:c>
      <x:c r="H10" s="15" t="n">
        <x:v>560</x:v>
      </x:c>
      <x:c r="I10" s="15" t="str">
        <x:v>已入住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02f04d7ef3c4c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15" hidden="0" customWidth="1"/>
    <x:col min="4" max="4" width="17" hidden="0" customWidth="1"/>
    <x:col min="5" max="5" width="15" hidden="0" customWidth="1"/>
    <x:col min="6" max="6" width="17" hidden="0" customWidth="1"/>
    <x:col min="7" max="7" width="11" hidden="0" customWidth="1"/>
    <x:col min="8" max="8" width="16" hidden="0" customWidth="1"/>
    <x:col min="9" max="9" width="18" hidden="0" customWidth="1"/>
    <x:col min="10" max="10" width="25" hidden="0" customWidth="1"/>
  </x:cols>
  <x:sheetData>
    <x:row r="1" ht="30" customHeight="1">
      <x:c r="A1" s="2" t="str">
        <x:v>客户拜访CRM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5" t="str">
        <x:v>核对业务目的、客户地点和联系人状态。 所有数据均为教学用虚构内容。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4" customHeight="1">
      <x:c r="A4" s="8" t="str">
        <x:v>visit_record_id</x:v>
      </x:c>
      <x:c r="B4" s="8" t="str">
        <x:v>trip_id</x:v>
      </x:c>
      <x:c r="C4" s="8" t="str">
        <x:v>employee_id</x:v>
      </x:c>
      <x:c r="D4" s="8" t="str">
        <x:v>visit_date</x:v>
      </x:c>
      <x:c r="E4" s="8" t="str">
        <x:v>customer_id</x:v>
      </x:c>
      <x:c r="F4" s="8" t="str">
        <x:v>customer_name</x:v>
      </x:c>
      <x:c r="G4" s="8" t="str">
        <x:v>city</x:v>
      </x:c>
      <x:c r="H4" s="8" t="str">
        <x:v>visit_status</x:v>
      </x:c>
      <x:c r="I4" s="8" t="str">
        <x:v>contact_status</x:v>
      </x:c>
      <x:c r="J4" s="8" t="str">
        <x:v>meeting_note</x:v>
      </x:c>
    </x:row>
    <x:row r="5">
      <x:c r="A5" s="13" t="str">
        <x:v>VR-1004</x:v>
      </x:c>
      <x:c r="B5" s="13" t="str">
        <x:v>T1004</x:v>
      </x:c>
      <x:c r="C5" s="13" t="str">
        <x:v>E1001</x:v>
      </x:c>
      <x:c r="D5" s="16" t="n">
        <x:v>46149</x:v>
      </x:c>
      <x:c r="E5" s="13" t="str">
        <x:v>C3001</x:v>
      </x:c>
      <x:c r="F5" s="13" t="str">
        <x:v>华东零售集团</x:v>
      </x:c>
      <x:c r="G5" s="13" t="str">
        <x:v>杭州</x:v>
      </x:c>
      <x:c r="H5" s="13" t="str">
        <x:v>已完成</x:v>
      </x:c>
      <x:c r="I5" s="13" t="str">
        <x:v>在岗</x:v>
      </x:c>
      <x:c r="J5" s="13" t="str">
        <x:v>门店数字化方案沟通</x:v>
      </x:c>
    </x:row>
    <x:row r="6">
      <x:c r="A6" s="14" t="str">
        <x:v>VR-1008</x:v>
      </x:c>
      <x:c r="B6" s="14" t="str">
        <x:v>T1008</x:v>
      </x:c>
      <x:c r="C6" s="14" t="str">
        <x:v>E1004</x:v>
      </x:c>
      <x:c r="D6" s="17" t="n">
        <x:v>46154</x:v>
      </x:c>
      <x:c r="E6" s="14" t="str">
        <x:v>C3002</x:v>
      </x:c>
      <x:c r="F6" s="14" t="str">
        <x:v>苏宁工业有限公司</x:v>
      </x:c>
      <x:c r="G6" s="14" t="str">
        <x:v>南京</x:v>
      </x:c>
      <x:c r="H6" s="14" t="str">
        <x:v>已完成</x:v>
      </x:c>
      <x:c r="I6" s="14" t="str">
        <x:v>在岗</x:v>
      </x:c>
      <x:c r="J6" s="14" t="str">
        <x:v>项目进度复盘</x:v>
      </x:c>
    </x:row>
    <x:row r="7">
      <x:c r="A7" s="14" t="str">
        <x:v>VR-1010</x:v>
      </x:c>
      <x:c r="B7" s="14" t="str">
        <x:v>T1010</x:v>
      </x:c>
      <x:c r="C7" s="14" t="str">
        <x:v>E1001</x:v>
      </x:c>
      <x:c r="D7" s="17" t="n">
        <x:v>46159</x:v>
      </x:c>
      <x:c r="E7" s="14" t="str">
        <x:v>C3001</x:v>
      </x:c>
      <x:c r="F7" s="14" t="str">
        <x:v>华东零售集团</x:v>
      </x:c>
      <x:c r="G7" s="14" t="str">
        <x:v>杭州</x:v>
      </x:c>
      <x:c r="H7" s="14" t="str">
        <x:v>已完成</x:v>
      </x:c>
      <x:c r="I7" s="14" t="str">
        <x:v>在岗</x:v>
      </x:c>
      <x:c r="J7" s="14" t="str">
        <x:v>合同续签准备</x:v>
      </x:c>
    </x:row>
    <x:row r="8">
      <x:c r="A8" s="14" t="str">
        <x:v>VR-2017</x:v>
      </x:c>
      <x:c r="B8" s="14" t="str">
        <x:v>T2017</x:v>
      </x:c>
      <x:c r="C8" s="14" t="str">
        <x:v>E1004</x:v>
      </x:c>
      <x:c r="D8" s="17" t="n">
        <x:v>46160</x:v>
      </x:c>
      <x:c r="E8" s="14" t="str">
        <x:v>C3003</x:v>
      </x:c>
      <x:c r="F8" s="14" t="str">
        <x:v>苏州恒达设备有限公司</x:v>
      </x:c>
      <x:c r="G8" s="14" t="str">
        <x:v>苏州</x:v>
      </x:c>
      <x:c r="H8" s="14" t="str">
        <x:v>无登记</x:v>
      </x:c>
      <x:c r="I8" s="14" t="str">
        <x:v>联系人休假</x:v>
      </x:c>
      <x:c r="J8" s="14" t="str">
        <x:v>系统未找到拜访或会议记录</x:v>
      </x:c>
    </x:row>
    <x:row r="9">
      <x:c r="A9" s="14" t="str">
        <x:v>VR-2025</x:v>
      </x:c>
      <x:c r="B9" s="14" t="str">
        <x:v>T2025</x:v>
      </x:c>
      <x:c r="C9" s="14" t="str">
        <x:v>E1001</x:v>
      </x:c>
      <x:c r="D9" s="17" t="n">
        <x:v>46166</x:v>
      </x:c>
      <x:c r="E9" s="14" t="str">
        <x:v>C3001</x:v>
      </x:c>
      <x:c r="F9" s="14" t="str">
        <x:v>华东零售集团</x:v>
      </x:c>
      <x:c r="G9" s="14" t="str">
        <x:v>上海</x:v>
      </x:c>
      <x:c r="H9" s="14" t="str">
        <x:v>无登记</x:v>
      </x:c>
      <x:c r="I9" s="14" t="str">
        <x:v>联系人休假</x:v>
      </x:c>
      <x:c r="J9" s="14" t="str">
        <x:v>系统未找到拜访或会议记录</x:v>
      </x:c>
    </x:row>
    <x:row r="10">
      <x:c r="A10" s="15" t="str">
        <x:v>VR-2026</x:v>
      </x:c>
      <x:c r="B10" s="15" t="str">
        <x:v>T2026</x:v>
      </x:c>
      <x:c r="C10" s="15" t="str">
        <x:v>E1003</x:v>
      </x:c>
      <x:c r="D10" s="18" t="n">
        <x:v>46167</x:v>
      </x:c>
      <x:c r="E10" s="15" t="str">
        <x:v>C3004</x:v>
      </x:c>
      <x:c r="F10" s="15" t="str">
        <x:v>苏州精工零件公司</x:v>
      </x:c>
      <x:c r="G10" s="15" t="str">
        <x:v>苏州</x:v>
      </x:c>
      <x:c r="H10" s="15" t="str">
        <x:v>已完成</x:v>
      </x:c>
      <x:c r="I10" s="15" t="str">
        <x:v>在岗</x:v>
      </x:c>
      <x:c r="J10" s="15" t="str">
        <x:v>供应商质量体系审查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d734d7d643b44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6" hidden="0" customWidth="1"/>
    <x:col min="4" max="4" width="17" hidden="0" customWidth="1"/>
    <x:col min="5" max="5" width="25" hidden="0" customWidth="1"/>
    <x:col min="6" max="6" width="14" hidden="0" customWidth="1"/>
    <x:col min="7" max="7" width="14" hidden="0" customWidth="1"/>
    <x:col min="8" max="8" width="14" hidden="0" customWidth="1"/>
    <x:col min="9" max="9" width="25" hidden="0" customWidth="1"/>
  </x:cols>
  <x:sheetData>
    <x:row r="1" ht="30" customHeight="1">
      <x:c r="A1" s="2" t="str">
        <x:v>票据OCR与图像检查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5" t="str">
        <x:v>表示从票据图片中提取的文字、金额、明细和完整性分数。 所有数据均为教学用虚构内容。</x:v>
      </x:c>
      <x:c r="B2" s="5"/>
      <x:c r="C2" s="5"/>
      <x:c r="D2" s="5"/>
      <x:c r="E2" s="5"/>
      <x:c r="F2" s="5"/>
      <x:c r="G2" s="5"/>
      <x:c r="H2" s="5"/>
      <x:c r="I2" s="5"/>
    </x:row>
    <x:row r="4" ht="24" customHeight="1">
      <x:c r="A4" s="8" t="str">
        <x:v>ocr_record_id</x:v>
      </x:c>
      <x:c r="B4" s="8" t="str">
        <x:v>claim_id</x:v>
      </x:c>
      <x:c r="C4" s="8" t="str">
        <x:v>receipt_file</x:v>
      </x:c>
      <x:c r="D4" s="8" t="str">
        <x:v>document_type</x:v>
      </x:c>
      <x:c r="E4" s="8" t="str">
        <x:v>ocr_text</x:v>
      </x:c>
      <x:c r="F4" s="8" t="str">
        <x:v>printed_amount_cny</x:v>
      </x:c>
      <x:c r="G4" s="8" t="str">
        <x:v>qr_amount_cny</x:v>
      </x:c>
      <x:c r="H4" s="8" t="str">
        <x:v>image_integrity_score</x:v>
      </x:c>
      <x:c r="I4" s="8" t="str">
        <x:v>extracted_items</x:v>
      </x:c>
    </x:row>
    <x:row r="5">
      <x:c r="A5" s="13" t="str">
        <x:v>OCR-41002</x:v>
      </x:c>
      <x:c r="B5" s="13" t="str">
        <x:v>BX-41002</x:v>
      </x:c>
      <x:c r="C5" s="13" t="str">
        <x:v>receipt_BX-41002.pdf</x:v>
      </x:c>
      <x:c r="D5" s="13" t="str">
        <x:v>酒店发票</x:v>
      </x:c>
      <x:c r="E5" s="13" t="str">
        <x:v>上海浦东会展酒店 住宿费 720元</x:v>
      </x:c>
      <x:c r="F5" s="19" t="n">
        <x:v>720</x:v>
      </x:c>
      <x:c r="G5" s="19" t="n">
        <x:v>720</x:v>
      </x:c>
      <x:c r="H5" s="33" t="n">
        <x:v>0.04</x:v>
      </x:c>
      <x:c r="I5" s="13" t="str">
        <x:v>住宿费</x:v>
      </x:c>
    </x:row>
    <x:row r="6">
      <x:c r="A6" s="14" t="str">
        <x:v>OCR-41610</x:v>
      </x:c>
      <x:c r="B6" s="14" t="str">
        <x:v>BX-41610</x:v>
      </x:c>
      <x:c r="C6" s="14" t="str">
        <x:v>scan_41610.pdf</x:v>
      </x:c>
      <x:c r="D6" s="14" t="str">
        <x:v>增值税普通发票</x:v>
      </x:c>
      <x:c r="E6" s="14" t="str">
        <x:v>北京星辉办公 研发耗材 1280元</x:v>
      </x:c>
      <x:c r="F6" s="20" t="n">
        <x:v>1280</x:v>
      </x:c>
      <x:c r="G6" s="20" t="n">
        <x:v>1280</x:v>
      </x:c>
      <x:c r="H6" s="34" t="n">
        <x:v>0.02</x:v>
      </x:c>
      <x:c r="I6" s="14" t="str">
        <x:v>打印耗材|移动硬盘</x:v>
      </x:c>
    </x:row>
    <x:row r="7">
      <x:c r="A7" s="14" t="str">
        <x:v>OCR-41902</x:v>
      </x:c>
      <x:c r="B7" s="14" t="str">
        <x:v>BX-41902</x:v>
      </x:c>
      <x:c r="C7" s="14" t="str">
        <x:v>office_may_copy.pdf</x:v>
      </x:c>
      <x:c r="D7" s="14" t="str">
        <x:v>增值税普通发票</x:v>
      </x:c>
      <x:c r="E7" s="14" t="str">
        <x:v>北京星辉办公 运营耗材 1280元</x:v>
      </x:c>
      <x:c r="F7" s="20" t="n">
        <x:v>1280</x:v>
      </x:c>
      <x:c r="G7" s="20" t="n">
        <x:v>1280</x:v>
      </x:c>
      <x:c r="H7" s="34" t="n">
        <x:v>0.02</x:v>
      </x:c>
      <x:c r="I7" s="14" t="str">
        <x:v>打印耗材|移动硬盘</x:v>
      </x:c>
    </x:row>
    <x:row r="8">
      <x:c r="A8" s="14" t="str">
        <x:v>OCR-42017</x:v>
      </x:c>
      <x:c r="B8" s="14" t="str">
        <x:v>BX-42017</x:v>
      </x:c>
      <x:c r="C8" s="14" t="str">
        <x:v>receipt_BX-42017.pdf</x:v>
      </x:c>
      <x:c r="D8" s="14" t="str">
        <x:v>出租车电子发票</x:v>
      </x:c>
      <x:c r="E8" s="14" t="str">
        <x:v>长三角商务出行 运输服务 468元</x:v>
      </x:c>
      <x:c r="F8" s="20" t="n">
        <x:v>468</x:v>
      </x:c>
      <x:c r="G8" s="20" t="n">
        <x:v>468</x:v>
      </x:c>
      <x:c r="H8" s="34" t="n">
        <x:v>0.01</x:v>
      </x:c>
      <x:c r="I8" s="14" t="str">
        <x:v>运输服务</x:v>
      </x:c>
    </x:row>
    <x:row r="9">
      <x:c r="A9" s="14" t="str">
        <x:v>OCR-42306</x:v>
      </x:c>
      <x:c r="B9" s="14" t="str">
        <x:v>BX-42306</x:v>
      </x:c>
      <x:c r="C9" s="14" t="str">
        <x:v>receipt_BX-42306.png</x:v>
      </x:c>
      <x:c r="D9" s="14" t="str">
        <x:v>出租车票</x:v>
      </x:c>
      <x:c r="E9" s="14" t="str">
        <x:v>成都快行出租 金额286元</x:v>
      </x:c>
      <x:c r="F9" s="20" t="n">
        <x:v>286</x:v>
      </x:c>
      <x:c r="G9" s="20" t="n">
        <x:v>86</x:v>
      </x:c>
      <x:c r="H9" s="34" t="n">
        <x:v>0.96</x:v>
      </x:c>
      <x:c r="I9" s="14" t="str">
        <x:v>出租车费；印刷数字2的字体与其他数字不一致</x:v>
      </x:c>
    </x:row>
    <x:row r="10">
      <x:c r="A10" s="14" t="str">
        <x:v>OCR-42519</x:v>
      </x:c>
      <x:c r="B10" s="14" t="str">
        <x:v>BX-42519</x:v>
      </x:c>
      <x:c r="C10" s="14" t="str">
        <x:v>receipt_BX-42519.pdf</x:v>
      </x:c>
      <x:c r="D10" s="14" t="str">
        <x:v>餐饮小票</x:v>
      </x:c>
      <x:c r="E10" s="14" t="str">
        <x:v>上海欢乐时光餐厅 小计988元</x:v>
      </x:c>
      <x:c r="F10" s="20" t="n">
        <x:v>988</x:v>
      </x:c>
      <x:c r="G10" s="20" t="n">
        <x:v>988</x:v>
      </x:c>
      <x:c r="H10" s="34" t="n">
        <x:v>0.03</x:v>
      </x:c>
      <x:c r="I10" s="14" t="str">
        <x:v>儿童套餐x2|生日蛋糕x1|家庭分享餐x1</x:v>
      </x:c>
    </x:row>
    <x:row r="11">
      <x:c r="A11" s="15" t="str">
        <x:v>OCR-42702</x:v>
      </x:c>
      <x:c r="B11" s="15" t="str">
        <x:v>BX-42702</x:v>
      </x:c>
      <x:c r="C11" s="15" t="str">
        <x:v>receipt_BX-42702.pdf</x:v>
      </x:c>
      <x:c r="D11" s="15" t="str">
        <x:v>航空运输电子客票行程单</x:v>
      </x:c>
      <x:c r="E11" s="15" t="str">
        <x:v>CA932 法兰克福至北京 5480元</x:v>
      </x:c>
      <x:c r="F11" s="21" t="n">
        <x:v>5480</x:v>
      </x:c>
      <x:c r="G11" s="21" t="n">
        <x:v>5480</x:v>
      </x:c>
      <x:c r="H11" s="35" t="n">
        <x:v>0.01</x:v>
      </x:c>
      <x:c r="I11" s="15" t="str">
        <x:v>经济舱机票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ba67cef1e1343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15" hidden="0" customWidth="1"/>
    <x:col min="8" max="8" width="12" hidden="0" customWidth="1"/>
    <x:col min="9" max="9" width="20" hidden="0" customWidth="1"/>
  </x:cols>
  <x:sheetData>
    <x:row r="1" ht="30" customHeight="1">
      <x:c r="A1" s="2" t="str">
        <x:v>员工日历</x:v>
      </x:c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5" t="str">
        <x:v>用employee_id和event_date核对业务日程和个人日程。 所有数据均为教学用虚构内容。</x:v>
      </x:c>
      <x:c r="B2" s="5"/>
      <x:c r="C2" s="5"/>
      <x:c r="D2" s="5"/>
      <x:c r="E2" s="5"/>
      <x:c r="F2" s="5"/>
      <x:c r="G2" s="5"/>
      <x:c r="H2" s="5"/>
      <x:c r="I2" s="5"/>
    </x:row>
    <x:row r="4" ht="24" customHeight="1">
      <x:c r="A4" s="8" t="str">
        <x:v>calendar_record_id</x:v>
      </x:c>
      <x:c r="B4" s="8" t="str">
        <x:v>employee_id</x:v>
      </x:c>
      <x:c r="C4" s="8" t="str">
        <x:v>event_date</x:v>
      </x:c>
      <x:c r="D4" s="8" t="str">
        <x:v>start_time</x:v>
      </x:c>
      <x:c r="E4" s="8" t="str">
        <x:v>end_time</x:v>
      </x:c>
      <x:c r="F4" s="8" t="str">
        <x:v>event_type</x:v>
      </x:c>
      <x:c r="G4" s="8" t="str">
        <x:v>event_title</x:v>
      </x:c>
      <x:c r="H4" s="8" t="str">
        <x:v>location</x:v>
      </x:c>
      <x:c r="I4" s="8" t="str">
        <x:v>business_related</x:v>
      </x:c>
    </x:row>
    <x:row r="5">
      <x:c r="A5" s="13" t="str">
        <x:v>CAL-1001</x:v>
      </x:c>
      <x:c r="B5" s="13" t="str">
        <x:v>E1001</x:v>
      </x:c>
      <x:c r="C5" s="16" t="n">
        <x:v>46149</x:v>
      </x:c>
      <x:c r="D5" s="13" t="str">
        <x:v>10:00</x:v>
      </x:c>
      <x:c r="E5" s="13" t="str">
        <x:v>12:00</x:v>
      </x:c>
      <x:c r="F5" s="13" t="str">
        <x:v>客户会议</x:v>
      </x:c>
      <x:c r="G5" s="13" t="str">
        <x:v>华东零售方案沟通</x:v>
      </x:c>
      <x:c r="H5" s="13" t="str">
        <x:v>杭州</x:v>
      </x:c>
      <x:c r="I5" s="27" t="b">
        <x:v>1</x:v>
      </x:c>
    </x:row>
    <x:row r="6">
      <x:c r="A6" s="14" t="str">
        <x:v>CAL-2017</x:v>
      </x:c>
      <x:c r="B6" s="14" t="str">
        <x:v>E1004</x:v>
      </x:c>
      <x:c r="C6" s="17" t="n">
        <x:v>46160</x:v>
      </x:c>
      <x:c r="D6" s="14" t="str">
        <x:v>14:00</x:v>
      </x:c>
      <x:c r="E6" s="14" t="str">
        <x:v>16:00</x:v>
      </x:c>
      <x:c r="F6" s="14" t="str">
        <x:v>内部会议</x:v>
      </x:c>
      <x:c r="G6" s="14" t="str">
        <x:v>南京区域销售复盘</x:v>
      </x:c>
      <x:c r="H6" s="14" t="str">
        <x:v>南京</x:v>
      </x:c>
      <x:c r="I6" s="28" t="b">
        <x:v>1</x:v>
      </x:c>
    </x:row>
    <x:row r="7">
      <x:c r="A7" s="14" t="str">
        <x:v>CAL-2025</x:v>
      </x:c>
      <x:c r="B7" s="14" t="str">
        <x:v>E1001</x:v>
      </x:c>
      <x:c r="C7" s="17" t="n">
        <x:v>46166</x:v>
      </x:c>
      <x:c r="D7" s="14" t="str">
        <x:v>17:30</x:v>
      </x:c>
      <x:c r="E7" s="14" t="str">
        <x:v>20:30</x:v>
      </x:c>
      <x:c r="F7" s="14" t="str">
        <x:v>个人日程</x:v>
      </x:c>
      <x:c r="G7" s="14" t="str">
        <x:v>家人生日聚餐</x:v>
      </x:c>
      <x:c r="H7" s="14" t="str">
        <x:v>上海</x:v>
      </x:c>
      <x:c r="I7" s="28" t="b">
        <x:v>0</x:v>
      </x:c>
    </x:row>
    <x:row r="8">
      <x:c r="A8" s="15" t="str">
        <x:v>CAL-2026</x:v>
      </x:c>
      <x:c r="B8" s="15" t="str">
        <x:v>E1003</x:v>
      </x:c>
      <x:c r="C8" s="18" t="n">
        <x:v>46167</x:v>
      </x:c>
      <x:c r="D8" s="15" t="str">
        <x:v>09:00</x:v>
      </x:c>
      <x:c r="E8" s="15" t="str">
        <x:v>16:30</x:v>
      </x:c>
      <x:c r="F8" s="15" t="str">
        <x:v>供应商审查</x:v>
      </x:c>
      <x:c r="G8" s="15" t="str">
        <x:v>苏州精工质量审查</x:v>
      </x:c>
      <x:c r="H8" s="15" t="str">
        <x:v>苏州</x:v>
      </x:c>
      <x:c r="I8" s="29" t="b">
        <x:v>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6dae7d4bf0e4e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1" hidden="0" customWidth="1"/>
    <x:col min="4" max="4" width="20" hidden="0" customWidth="1"/>
    <x:col min="5" max="5" width="12" hidden="0" customWidth="1"/>
    <x:col min="6" max="6" width="18" hidden="0" customWidth="1"/>
    <x:col min="7" max="7" width="20" hidden="0" customWidth="1"/>
    <x:col min="8" max="8" width="25" hidden="0" customWidth="1"/>
  </x:cols>
  <x:sheetData>
    <x:row r="1" ht="30" customHeight="1">
      <x:c r="A1" s="2" t="str">
        <x:v>讲师答案：预期发现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A—F六个贯穿情形的预期结果、证据链和首个有效技术阶段。 所有数据均为教学用虚构内容。</x:v>
      </x:c>
      <x:c r="B2" s="5"/>
      <x:c r="C2" s="5"/>
      <x:c r="D2" s="5"/>
      <x:c r="E2" s="5"/>
      <x:c r="F2" s="5"/>
      <x:c r="G2" s="5"/>
      <x:c r="H2" s="5"/>
    </x:row>
    <x:row r="4" ht="24" customHeight="1">
      <x:c r="A4" s="8" t="str">
        <x:v>case_id</x:v>
      </x:c>
      <x:c r="B4" s="8" t="str">
        <x:v>case_name</x:v>
      </x:c>
      <x:c r="C4" s="8" t="str">
        <x:v>primary_claim_ids</x:v>
      </x:c>
      <x:c r="D4" s="8" t="str">
        <x:v>expected_outcome</x:v>
      </x:c>
      <x:c r="E4" s="8" t="str">
        <x:v>severity</x:v>
      </x:c>
      <x:c r="F4" s="8" t="str">
        <x:v>evidence_files</x:v>
      </x:c>
      <x:c r="G4" s="8" t="str">
        <x:v>evidence_summary</x:v>
      </x:c>
      <x:c r="H4" s="8" t="str">
        <x:v>first_effective_stage</x:v>
      </x:c>
    </x:row>
    <x:row r="5">
      <x:c r="A5" s="13" t="str">
        <x:v>A</x:v>
      </x:c>
      <x:c r="B5" s="13" t="str">
        <x:v>重复发票</x:v>
      </x:c>
      <x:c r="C5" s="13" t="str">
        <x:v>BX-41610|BX-41902</x:v>
      </x:c>
      <x:c r="D5" s="13" t="str">
        <x:v>需重点核查</x:v>
      </x:c>
      <x:c r="E5" s="13" t="str">
        <x:v>高</x:v>
      </x:c>
      <x:c r="F5" s="13" t="str">
        <x:v>expense_claims.csv|invoice_registry.csv</x:v>
      </x:c>
      <x:c r="G5" s="13" t="str">
        <x:v>两笔报销附件名不同，但发票号、金额、销方相同。</x:v>
      </x:c>
      <x:c r="H5" s="13" t="str">
        <x:v>规则</x:v>
      </x:c>
    </x:row>
    <x:row r="6">
      <x:c r="A6" s="14" t="str">
        <x:v>B</x:v>
      </x:c>
      <x:c r="B6" s="14" t="str">
        <x:v>超标住宿合理例外</x:v>
      </x:c>
      <x:c r="C6" s="14" t="str">
        <x:v>BX-41002</x:v>
      </x:c>
      <x:c r="D6" s="14" t="str">
        <x:v>排除误报</x:v>
      </x:c>
      <x:c r="E6" s="14" t="str">
        <x:v>无</x:v>
      </x:c>
      <x:c r="F6" s="14" t="str">
        <x:v>expense_claims.csv|approvals.csv|special_event_notice.md</x:v>
      </x:c>
      <x:c r="G6" s="14" t="str">
        <x:v>720元超过常规600元标准，但有事前审批，且会展通知将上限提高至800元。</x:v>
      </x:c>
      <x:c r="H6" s="14" t="str">
        <x:v>大模型</x:v>
      </x:c>
    </x:row>
    <x:row r="7">
      <x:c r="A7" s="14" t="str">
        <x:v>C</x:v>
      </x:c>
      <x:c r="B7" s="14" t="str">
        <x:v>拆分报销</x:v>
      </x:c>
      <x:c r="C7" s="14" t="str">
        <x:v>BX-41881|BX-41882|BX-41883|BX-41884</x:v>
      </x:c>
      <x:c r="D7" s="14" t="str">
        <x:v>需重点核查</x:v>
      </x:c>
      <x:c r="E7" s="14" t="str">
        <x:v>高</x:v>
      </x:c>
      <x:c r="F7" s="14" t="str">
        <x:v>expense_claims.csv|expense_policy.md</x:v>
      </x:c>
      <x:c r="G7" s="14" t="str">
        <x:v>同一员工、同一商户、两天内四笔近似金额均低于2,000元审批阈值，合计7,880元。</x:v>
      </x:c>
      <x:c r="H7" s="14" t="str">
        <x:v>机器学习</x:v>
      </x:c>
    </x:row>
    <x:row r="8">
      <x:c r="A8" s="14" t="str">
        <x:v>D</x:v>
      </x:c>
      <x:c r="B8" s="14" t="str">
        <x:v>票据金额修改</x:v>
      </x:c>
      <x:c r="C8" s="14" t="str">
        <x:v>BX-42306</x:v>
      </x:c>
      <x:c r="D8" s="14" t="str">
        <x:v>需重点核查</x:v>
      </x:c>
      <x:c r="E8" s="14" t="str">
        <x:v>高</x:v>
      </x:c>
      <x:c r="F8" s="14" t="str">
        <x:v>expense_claims.csv|invoice_registry.csv|receipt_ocr.csv</x:v>
      </x:c>
      <x:c r="G8" s="14" t="str">
        <x:v>报销和可见字样为286元，二维码解析和发票平台金额为86元，图像完整性风险高。</x:v>
      </x:c>
      <x:c r="H8" s="14" t="str">
        <x:v>神经网络</x:v>
      </x:c>
    </x:row>
    <x:row r="9">
      <x:c r="A9" s="14" t="str">
        <x:v>E</x:v>
      </x:c>
      <x:c r="B9" s="14" t="str">
        <x:v>个人消费伪装客户招待</x:v>
      </x:c>
      <x:c r="C9" s="14" t="str">
        <x:v>BX-42519</x:v>
      </x:c>
      <x:c r="D9" s="14" t="str">
        <x:v>需重点核查</x:v>
      </x:c>
      <x:c r="E9" s="14" t="str">
        <x:v>中高</x:v>
      </x:c>
      <x:c r="F9" s="14" t="str">
        <x:v>expense_claims.csv|receipt_ocr.csv|customer_visits.csv|employee_calendar.csv</x:v>
      </x:c>
      <x:c r="G9" s="14" t="str">
        <x:v>周日报销客户招待，小票含儿童套餐和生日蛋糕，CRM无拜访，日历为家人生日。</x:v>
      </x:c>
      <x:c r="H9" s="14" t="str">
        <x:v>大模型</x:v>
      </x:c>
    </x:row>
    <x:row r="10">
      <x:c r="A10" s="15" t="str">
        <x:v>F</x:v>
      </x:c>
      <x:c r="B10" s="15" t="str">
        <x:v>行程与业务目的矛盾</x:v>
      </x:c>
      <x:c r="C10" s="15" t="str">
        <x:v>BX-42017</x:v>
      </x:c>
      <x:c r="D10" s="15" t="str">
        <x:v>需重点核查</x:v>
      </x:c>
      <x:c r="E10" s="15" t="str">
        <x:v>高</x:v>
      </x:c>
      <x:c r="F10" s="15" t="str">
        <x:v>expense_claims.csv|flight_records.csv|hotel_records.csv|customer_visits.csv|invoice_registry.csv</x:v>
      </x:c>
      <x:c r="G10" s="15" t="str">
        <x:v>报销称上海机场至苏州，航班、酒店和日历均指向南京，苏州无拜访，发票又存在外部重复引用。</x:v>
      </x:c>
      <x:c r="H10" s="15" t="str">
        <x:v>智能体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6234868bd8e4098"/>
  </x:tableParts>
</x:worksheet>
</file>